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uchi Barai M1\"/>
    </mc:Choice>
  </mc:AlternateContent>
  <xr:revisionPtr revIDLastSave="0" documentId="8_{D25B988C-86A8-F94C-8D01-8D7EBB2DC723}" xr6:coauthVersionLast="47" xr6:coauthVersionMax="47" xr10:uidLastSave="{00000000-0000-0000-0000-000000000000}"/>
  <bookViews>
    <workbookView xWindow="-120" yWindow="-120" windowWidth="20730" windowHeight="11040" firstSheet="6" activeTab="12" xr2:uid="{00000000-000D-0000-FFFF-FFFF00000000}"/>
  </bookViews>
  <sheets>
    <sheet name="Revenue G" sheetId="2" r:id="rId1"/>
    <sheet name="Stock P" sheetId="4" r:id="rId2"/>
    <sheet name="Monthly User" sheetId="8" r:id="rId3"/>
    <sheet name="Profit&amp;Loss" sheetId="9" r:id="rId4"/>
    <sheet name="User G" sheetId="10" r:id="rId5"/>
    <sheet name="Monthly AU" sheetId="11" r:id="rId6"/>
    <sheet name="Net Income" sheetId="12" r:id="rId7"/>
    <sheet name="Sheet12" sheetId="13" r:id="rId8"/>
    <sheet name="Sheet13" sheetId="15" r:id="rId9"/>
    <sheet name="Sheet14" sheetId="16" r:id="rId10"/>
    <sheet name="Sheet15" sheetId="17" r:id="rId11"/>
    <sheet name="Meta_2016_2026" sheetId="1" r:id="rId12"/>
    <sheet name="Dashboard" sheetId="3" r:id="rId13"/>
    <sheet name="Sheet16" sheetId="18" r:id="rId14"/>
  </sheets>
  <definedNames>
    <definedName name="Slicer_Geographical_Data">#N/A</definedName>
    <definedName name="Slicer_Month">#N/A</definedName>
    <definedName name="Slicer_Year">#N/A</definedName>
  </definedNames>
  <calcPr calcId="191028"/>
  <pivotCaches>
    <pivotCache cacheId="1"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<sst xmlns="http://schemas.openxmlformats.org/spreadsheetml/2006/main" count="892" uniqueCount="67">
  <si>
    <t>Year</t>
  </si>
  <si>
    <t>Month</t>
  </si>
  <si>
    <t>Revenue Growth (%)</t>
  </si>
  <si>
    <t>Monthly Active Users (Billion)</t>
  </si>
  <si>
    <t>Profit (Billion USD)</t>
  </si>
  <si>
    <t>Loss (Billion USD)</t>
  </si>
  <si>
    <t>Monthly Performance Score</t>
  </si>
  <si>
    <t>Geographical Data</t>
  </si>
  <si>
    <t>User Growth (%)</t>
  </si>
  <si>
    <t>Stock Price Growth (%)</t>
  </si>
  <si>
    <t>AI Innovations Count</t>
  </si>
  <si>
    <t>Total Net Income (Billion USD)</t>
  </si>
  <si>
    <t>New Product Launch</t>
  </si>
  <si>
    <t>Major Updates</t>
  </si>
  <si>
    <t>Monthly Active Sales (Million USD)</t>
  </si>
  <si>
    <t>Daily Stock Price (USD)</t>
  </si>
  <si>
    <t>Region</t>
  </si>
  <si>
    <t>AI Update</t>
  </si>
  <si>
    <t>January</t>
  </si>
  <si>
    <t>North America</t>
  </si>
  <si>
    <t>VR Headset</t>
  </si>
  <si>
    <t>Privacy Update</t>
  </si>
  <si>
    <t>Latin America</t>
  </si>
  <si>
    <t>Voice AI Enhancement</t>
  </si>
  <si>
    <t>February</t>
  </si>
  <si>
    <t>Middle East</t>
  </si>
  <si>
    <t>Ad Platform Upgrade</t>
  </si>
  <si>
    <t>AI Recommendation Upgrade</t>
  </si>
  <si>
    <t>Smart Ads AI</t>
  </si>
  <si>
    <t>March</t>
  </si>
  <si>
    <t>Asia-Pacific</t>
  </si>
  <si>
    <t>WhatsApp Update</t>
  </si>
  <si>
    <t>Security Improvement</t>
  </si>
  <si>
    <t>Generative AI Rollout</t>
  </si>
  <si>
    <t>April</t>
  </si>
  <si>
    <t>Instagram Feature</t>
  </si>
  <si>
    <t>Machine Learning Expansion</t>
  </si>
  <si>
    <t>LLM Integration</t>
  </si>
  <si>
    <t>May</t>
  </si>
  <si>
    <t>Europe</t>
  </si>
  <si>
    <t>Meta AI Tools</t>
  </si>
  <si>
    <t>New Business Tools</t>
  </si>
  <si>
    <t>June</t>
  </si>
  <si>
    <t>Image AI Model</t>
  </si>
  <si>
    <t>July</t>
  </si>
  <si>
    <t>August</t>
  </si>
  <si>
    <t>September</t>
  </si>
  <si>
    <t>October</t>
  </si>
  <si>
    <t>AI Assistant Upgrade</t>
  </si>
  <si>
    <t>November</t>
  </si>
  <si>
    <t>December</t>
  </si>
  <si>
    <t>Performance Optimization</t>
  </si>
  <si>
    <t>Threads Feature</t>
  </si>
  <si>
    <t>Row Labels</t>
  </si>
  <si>
    <t>Grand Total</t>
  </si>
  <si>
    <t>Sum of Revenue Growth (%)</t>
  </si>
  <si>
    <t>Sum of Stock Price Growth (%)</t>
  </si>
  <si>
    <t>Count of Month</t>
  </si>
  <si>
    <t>v</t>
  </si>
  <si>
    <t>Sum of Monthly Active Users (Billion)</t>
  </si>
  <si>
    <t>Sum of Profit (Billion USD)</t>
  </si>
  <si>
    <t>Sum of Loss (Billion USD)</t>
  </si>
  <si>
    <t>Sum of User Growth (%)</t>
  </si>
  <si>
    <t>Sum of Monthly Active Sales (Million USD)</t>
  </si>
  <si>
    <t>Sum of Total Net Income (Billion USD)</t>
  </si>
  <si>
    <t>Sum of Stock Price Growth (%)2</t>
  </si>
  <si>
    <r>
      <t xml:space="preserve">         </t>
    </r>
    <r>
      <rPr>
        <b/>
        <sz val="36"/>
        <color theme="0"/>
        <rFont val="Calibri"/>
        <family val="2"/>
        <scheme val="minor"/>
      </rPr>
      <t>ANALYSIS OF META PLATFORM UPDATE AND PERFORMANCE</t>
    </r>
    <r>
      <rPr>
        <b/>
        <sz val="28"/>
        <color theme="0"/>
        <rFont val="Calibri"/>
        <family val="2"/>
        <scheme val="minor"/>
      </rPr>
      <t xml:space="preserve"> </t>
    </r>
    <r>
      <rPr>
        <b/>
        <sz val="36"/>
        <color theme="0"/>
        <rFont val="Calibri"/>
        <family val="2"/>
        <scheme val="minor"/>
      </rPr>
      <t>(2016-2026)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</si>
</sst>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28"/>
      <color theme="1"/>
      <name val="Calibri"/>
      <family val="2"/>
      <scheme val="minor"/>
    </font>
    <font>
      <b/>
      <sz val="28"/>
      <color theme="0"/>
      <name val="Calibri"/>
      <family val="2"/>
      <scheme val="minor"/>
    </font>
    <font>
      <b/>
      <sz val="36"/>
      <color theme="0"/>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3"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xf numFmtId="0" fontId="0" fillId="3" borderId="0" xfId="0" applyFill="1" applyAlignment="1">
      <alignment horizontal="right"/>
    </xf>
    <xf numFmtId="0" fontId="3" fillId="2" borderId="0" xfId="0" applyFont="1" applyFill="1" applyAlignment="1">
      <alignment horizontal="center"/>
    </xf>
    <xf numFmtId="0" fontId="2" fillId="2" borderId="0" xfId="0" applyFont="1" applyFill="1" applyAlignment="1">
      <alignment horizontal="center"/>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microsoft.com/office/2007/relationships/slicerCache" Target="slicerCaches/slicerCache3.xml" /><Relationship Id="rId3" Type="http://schemas.openxmlformats.org/officeDocument/2006/relationships/worksheet" Target="worksheets/sheet3.xml" /><Relationship Id="rId21" Type="http://schemas.openxmlformats.org/officeDocument/2006/relationships/sharedStrings" Target="sharedStrings.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microsoft.com/office/2007/relationships/slicerCache" Target="slicerCaches/slicerCache2.xml" /><Relationship Id="rId2" Type="http://schemas.openxmlformats.org/officeDocument/2006/relationships/worksheet" Target="worksheets/sheet2.xml" /><Relationship Id="rId16" Type="http://schemas.microsoft.com/office/2007/relationships/slicerCache" Target="slicerCaches/slicerCache1.xml" /><Relationship Id="rId20" Type="http://schemas.openxmlformats.org/officeDocument/2006/relationships/styles" Target="style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pivotCacheDefinition" Target="pivotCache/pivotCacheDefinition1.xml" /><Relationship Id="rId10" Type="http://schemas.openxmlformats.org/officeDocument/2006/relationships/worksheet" Target="worksheets/sheet10.xml" /><Relationship Id="rId19"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6.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7.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8.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_rels/chart9.xml.rels><?xml version="1.0" encoding="UTF-8" standalone="yes"?>
<Relationships xmlns="http://schemas.openxmlformats.org/package/2006/relationships"><Relationship Id="rId2" Type="http://schemas.microsoft.com/office/2011/relationships/chartColorStyle" Target="colors9.xml" /><Relationship Id="rId1" Type="http://schemas.microsoft.com/office/2011/relationships/chartStyle" Target="style9.xml" /></Relationships>
</file>

<file path=xl/charts/_rels/chart10.xml.rels><?xml version="1.0" encoding="UTF-8" standalone="yes"?>
<Relationships xmlns="http://schemas.openxmlformats.org/package/2006/relationships"><Relationship Id="rId2" Type="http://schemas.microsoft.com/office/2011/relationships/chartColorStyle" Target="colors10.xml" /><Relationship Id="rId1" Type="http://schemas.microsoft.com/office/2011/relationships/chartStyle" Target="style10.xml" /></Relationships>
</file>

<file path=xl/charts/_rels/chart11.xml.rels><?xml version="1.0" encoding="UTF-8" standalone="yes"?>
<Relationships xmlns="http://schemas.openxmlformats.org/package/2006/relationships"><Relationship Id="rId2" Type="http://schemas.microsoft.com/office/2011/relationships/chartColorStyle" Target="colors11.xml" /><Relationship Id="rId1" Type="http://schemas.microsoft.com/office/2011/relationships/chartStyle" Target="style11.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2.xlsx]Revenue G!PivotTable1</c:name>
    <c:fmtId val="6"/>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800" baseline="0">
                <a:solidFill>
                  <a:schemeClr val="tx1"/>
                </a:solidFill>
              </a:rPr>
              <a:t>Sum of Revenue Growth</a:t>
            </a:r>
          </a:p>
        </c:rich>
      </c:tx>
      <c:layout>
        <c:manualLayout>
          <c:xMode val="edge"/>
          <c:yMode val="edge"/>
          <c:x val="0.35241190690746443"/>
          <c:y val="4.433902249948003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3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319227246005006E-2"/>
          <c:y val="0.22624781277340328"/>
          <c:w val="0.84460659889241751"/>
          <c:h val="0.56552165354330708"/>
        </c:manualLayout>
      </c:layout>
      <c:barChart>
        <c:barDir val="col"/>
        <c:grouping val="clustered"/>
        <c:varyColors val="0"/>
        <c:ser>
          <c:idx val="0"/>
          <c:order val="0"/>
          <c:tx>
            <c:strRef>
              <c:f>'Revenue G'!$B$3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23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G'!$A$4:$A$15</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'Revenue G'!$B$4:$B$15</c:f>
              <c:numCache>
                <c:formatCode>General</c:formatCode>
                <c:ptCount val="11"/>
                <c:pt idx="0">
                  <c:v>111.56</c:v>
                </c:pt>
                <c:pt idx="1">
                  <c:v>128.78</c:v>
                </c:pt>
                <c:pt idx="2">
                  <c:v>119.35000000000001</c:v>
                </c:pt>
                <c:pt idx="3">
                  <c:v>136.67000000000002</c:v>
                </c:pt>
                <c:pt idx="4">
                  <c:v>130.19999999999999</c:v>
                </c:pt>
                <c:pt idx="5">
                  <c:v>142.92000000000002</c:v>
                </c:pt>
                <c:pt idx="6">
                  <c:v>127.29</c:v>
                </c:pt>
                <c:pt idx="7">
                  <c:v>124.79</c:v>
                </c:pt>
                <c:pt idx="8">
                  <c:v>114.21999999999998</c:v>
                </c:pt>
                <c:pt idx="9">
                  <c:v>133.03</c:v>
                </c:pt>
                <c:pt idx="10">
                  <c:v>90.7</c:v>
                </c:pt>
              </c:numCache>
            </c:numRef>
          </c:val>
          <c:extLst>
            <c:ext xmlns:c16="http://schemas.microsoft.com/office/drawing/2014/chart" uri="{C3380CC4-5D6E-409C-BE32-E72D297353CC}">
              <c16:uniqueId val="{00000000-3E42-4142-8383-EC0879C386FF}"/>
            </c:ext>
          </c:extLst>
        </c:ser>
        <c:dLbls>
          <c:dLblPos val="outEnd"/>
          <c:showLegendKey val="0"/>
          <c:showVal val="1"/>
          <c:showCatName val="0"/>
          <c:showSerName val="0"/>
          <c:showPercent val="0"/>
          <c:showBubbleSize val="0"/>
        </c:dLbls>
        <c:gapWidth val="100"/>
        <c:overlap val="-24"/>
        <c:axId val="885024176"/>
        <c:axId val="885084128"/>
      </c:barChart>
      <c:catAx>
        <c:axId val="8850241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885084128"/>
        <c:crosses val="autoZero"/>
        <c:auto val="1"/>
        <c:lblAlgn val="ctr"/>
        <c:lblOffset val="100"/>
        <c:noMultiLvlLbl val="0"/>
      </c:catAx>
      <c:valAx>
        <c:axId val="8850841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85024176"/>
        <c:crosses val="autoZero"/>
        <c:crossBetween val="between"/>
      </c:valAx>
      <c:spPr>
        <a:noFill/>
        <a:ln>
          <a:noFill/>
        </a:ln>
        <a:effectLst/>
      </c:spPr>
    </c:plotArea>
    <c:legend>
      <c:legendPos val="r"/>
      <c:layout>
        <c:manualLayout>
          <c:xMode val="edge"/>
          <c:yMode val="edge"/>
          <c:x val="0.88946854009690646"/>
          <c:y val="0.38486635878933029"/>
          <c:w val="8.6763180210217922E-2"/>
          <c:h val="0.1586646642546977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2.xlsx]Stock P!PivotTable2</c:name>
    <c:fmtId val="15"/>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IN" sz="1800" baseline="0">
                <a:solidFill>
                  <a:schemeClr val="tx1"/>
                </a:solidFill>
              </a:rPr>
              <a:t> Sum of stock price of Y/M</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50" b="0"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82725821845222"/>
          <c:y val="0.15412256260610302"/>
          <c:w val="0.65486208821657166"/>
          <c:h val="0.75010279965004378"/>
        </c:manualLayout>
      </c:layout>
      <c:barChart>
        <c:barDir val="bar"/>
        <c:grouping val="stacked"/>
        <c:varyColors val="0"/>
        <c:ser>
          <c:idx val="0"/>
          <c:order val="0"/>
          <c:tx>
            <c:strRef>
              <c:f>'Stock P'!$B$3</c:f>
              <c:strCache>
                <c:ptCount val="1"/>
                <c:pt idx="0">
                  <c:v>Sum of Stock Price Growth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50" b="0"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'Stock P'!$A$4:$A$15</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'Stock P'!$B$4:$B$15</c:f>
              <c:numCache>
                <c:formatCode>General</c:formatCode>
                <c:ptCount val="11"/>
                <c:pt idx="0">
                  <c:v>11.44</c:v>
                </c:pt>
                <c:pt idx="1">
                  <c:v>10.130000000000001</c:v>
                </c:pt>
                <c:pt idx="2">
                  <c:v>11.85</c:v>
                </c:pt>
                <c:pt idx="3">
                  <c:v>-1.57</c:v>
                </c:pt>
                <c:pt idx="4">
                  <c:v>5.49</c:v>
                </c:pt>
                <c:pt idx="5">
                  <c:v>15.64</c:v>
                </c:pt>
                <c:pt idx="6">
                  <c:v>4.07</c:v>
                </c:pt>
                <c:pt idx="7">
                  <c:v>11.75</c:v>
                </c:pt>
                <c:pt idx="8">
                  <c:v>13.15</c:v>
                </c:pt>
                <c:pt idx="9">
                  <c:v>9.98</c:v>
                </c:pt>
                <c:pt idx="10">
                  <c:v>7.56</c:v>
                </c:pt>
              </c:numCache>
            </c:numRef>
          </c:val>
          <c:extLst>
            <c:ext xmlns:c16="http://schemas.microsoft.com/office/drawing/2014/chart" uri="{C3380CC4-5D6E-409C-BE32-E72D297353CC}">
              <c16:uniqueId val="{00000000-9AB9-4D4F-9BF2-852049507040}"/>
            </c:ext>
          </c:extLst>
        </c:ser>
        <c:ser>
          <c:idx val="1"/>
          <c:order val="1"/>
          <c:tx>
            <c:strRef>
              <c:f>'Stock P'!$C$3</c:f>
              <c:strCache>
                <c:ptCount val="1"/>
                <c:pt idx="0">
                  <c:v>Count of Month</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'Stock P'!$A$4:$A$15</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'Stock P'!$C$4:$C$15</c:f>
              <c:numCache>
                <c:formatCode>General</c:formatCode>
                <c:ptCount val="11"/>
                <c:pt idx="0">
                  <c:v>1</c:v>
                </c:pt>
                <c:pt idx="1">
                  <c:v>1</c:v>
                </c:pt>
                <c:pt idx="2">
                  <c:v>1</c:v>
                </c:pt>
                <c:pt idx="3">
                  <c:v>1</c:v>
                </c:pt>
                <c:pt idx="4">
                  <c:v>1</c:v>
                </c:pt>
                <c:pt idx="5">
                  <c:v>1</c:v>
                </c:pt>
                <c:pt idx="6">
                  <c:v>1</c:v>
                </c:pt>
                <c:pt idx="7">
                  <c:v>1</c:v>
                </c:pt>
                <c:pt idx="8">
                  <c:v>1</c:v>
                </c:pt>
                <c:pt idx="9">
                  <c:v>1</c:v>
                </c:pt>
                <c:pt idx="10">
                  <c:v>1</c:v>
                </c:pt>
              </c:numCache>
            </c:numRef>
          </c:val>
          <c:extLst>
            <c:ext xmlns:c16="http://schemas.microsoft.com/office/drawing/2014/chart" uri="{C3380CC4-5D6E-409C-BE32-E72D297353CC}">
              <c16:uniqueId val="{00000001-9AB9-4D4F-9BF2-852049507040}"/>
            </c:ext>
          </c:extLst>
        </c:ser>
        <c:dLbls>
          <c:dLblPos val="inEnd"/>
          <c:showLegendKey val="0"/>
          <c:showVal val="1"/>
          <c:showCatName val="0"/>
          <c:showSerName val="0"/>
          <c:showPercent val="0"/>
          <c:showBubbleSize val="0"/>
        </c:dLbls>
        <c:gapWidth val="115"/>
        <c:overlap val="100"/>
        <c:axId val="712245904"/>
        <c:axId val="712244464"/>
      </c:barChart>
      <c:catAx>
        <c:axId val="7122459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12244464"/>
        <c:crosses val="autoZero"/>
        <c:auto val="1"/>
        <c:lblAlgn val="ctr"/>
        <c:lblOffset val="100"/>
        <c:noMultiLvlLbl val="0"/>
      </c:catAx>
      <c:valAx>
        <c:axId val="712244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12245904"/>
        <c:crosses val="autoZero"/>
        <c:crossBetween val="between"/>
      </c:valAx>
      <c:spPr>
        <a:noFill/>
        <a:ln>
          <a:noFill/>
        </a:ln>
        <a:effectLst/>
      </c:spPr>
    </c:plotArea>
    <c:legend>
      <c:legendPos val="r"/>
      <c:layout>
        <c:manualLayout>
          <c:xMode val="edge"/>
          <c:yMode val="edge"/>
          <c:x val="0.77414287759484612"/>
          <c:y val="0.70863595601538787"/>
          <c:w val="0.22585702696253879"/>
          <c:h val="0.2438684097416309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2.xlsx]Monthly User!PivotTable6</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baseline="0">
                <a:solidFill>
                  <a:schemeClr val="tx1"/>
                </a:solidFill>
              </a:rPr>
              <a:t>AI Updates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201613680590324E-2"/>
          <c:y val="0.17616151258655413"/>
          <c:w val="0.87850805525842435"/>
          <c:h val="0.51931112314937156"/>
        </c:manualLayout>
      </c:layout>
      <c:barChart>
        <c:barDir val="col"/>
        <c:grouping val="clustered"/>
        <c:varyColors val="0"/>
        <c:ser>
          <c:idx val="0"/>
          <c:order val="0"/>
          <c:tx>
            <c:strRef>
              <c:f>'Monthly User'!$B$3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'Monthly User'!$A$4:$A$29</c:f>
              <c:multiLvlStrCache>
                <c:ptCount val="12"/>
                <c:lvl>
                  <c:pt idx="0">
                    <c:v>Generative AI Rollout</c:v>
                  </c:pt>
                  <c:pt idx="1">
                    <c:v>AI Assistant Upgrade</c:v>
                  </c:pt>
                  <c:pt idx="2">
                    <c:v>Image AI Model</c:v>
                  </c:pt>
                  <c:pt idx="3">
                    <c:v>Generative AI Rollout</c:v>
                  </c:pt>
                  <c:pt idx="4">
                    <c:v>LLM Integration</c:v>
                  </c:pt>
                  <c:pt idx="5">
                    <c:v>Generative AI Rollout</c:v>
                  </c:pt>
                  <c:pt idx="6">
                    <c:v>Voice AI Enhancement</c:v>
                  </c:pt>
                  <c:pt idx="7">
                    <c:v>Image AI Model</c:v>
                  </c:pt>
                  <c:pt idx="8">
                    <c:v>Voice AI Enhancement</c:v>
                  </c:pt>
                  <c:pt idx="9">
                    <c:v>Image AI Model</c:v>
                  </c:pt>
                  <c:pt idx="10">
                    <c:v>Smart Ads AI</c:v>
                  </c:pt>
                  <c:pt idx="11">
                    <c:v>AI Assistant Upgrade</c:v>
                  </c:pt>
                </c:lvl>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2019</c:v>
                  </c:pt>
                </c:lvl>
              </c:multiLvlStrCache>
            </c:multiLvlStrRef>
          </c:cat>
          <c:val>
            <c:numRef>
              <c:f>'Monthly User'!$B$4:$B$29</c:f>
              <c:numCache>
                <c:formatCode>General</c:formatCode>
                <c:ptCount val="12"/>
                <c:pt idx="0">
                  <c:v>2.14</c:v>
                </c:pt>
                <c:pt idx="1">
                  <c:v>2.15</c:v>
                </c:pt>
                <c:pt idx="2">
                  <c:v>2.16</c:v>
                </c:pt>
                <c:pt idx="3">
                  <c:v>2.17</c:v>
                </c:pt>
                <c:pt idx="4">
                  <c:v>2.1800000000000002</c:v>
                </c:pt>
                <c:pt idx="5">
                  <c:v>2.19</c:v>
                </c:pt>
                <c:pt idx="6">
                  <c:v>2.2000000000000002</c:v>
                </c:pt>
                <c:pt idx="7">
                  <c:v>2.21</c:v>
                </c:pt>
                <c:pt idx="8">
                  <c:v>2.2200000000000002</c:v>
                </c:pt>
                <c:pt idx="9">
                  <c:v>2.23</c:v>
                </c:pt>
                <c:pt idx="10">
                  <c:v>2.2400000000000002</c:v>
                </c:pt>
                <c:pt idx="11">
                  <c:v>2.25</c:v>
                </c:pt>
              </c:numCache>
            </c:numRef>
          </c:val>
          <c:extLst>
            <c:ext xmlns:c16="http://schemas.microsoft.com/office/drawing/2014/chart" uri="{C3380CC4-5D6E-409C-BE32-E72D297353CC}">
              <c16:uniqueId val="{00000000-9C67-4C33-98C5-0AF4E6C62F67}"/>
            </c:ext>
          </c:extLst>
        </c:ser>
        <c:dLbls>
          <c:dLblPos val="outEnd"/>
          <c:showLegendKey val="0"/>
          <c:showVal val="1"/>
          <c:showCatName val="0"/>
          <c:showSerName val="0"/>
          <c:showPercent val="0"/>
          <c:showBubbleSize val="0"/>
        </c:dLbls>
        <c:gapWidth val="219"/>
        <c:overlap val="-27"/>
        <c:axId val="720430768"/>
        <c:axId val="917522640"/>
      </c:barChart>
      <c:catAx>
        <c:axId val="72043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50" b="0" i="0" u="none" strike="noStrike" kern="1200" baseline="0">
                <a:solidFill>
                  <a:schemeClr val="tx1"/>
                </a:solidFill>
                <a:latin typeface="+mn-lt"/>
                <a:ea typeface="+mn-ea"/>
                <a:cs typeface="+mn-cs"/>
              </a:defRPr>
            </a:pPr>
            <a:endParaRPr lang="en-US"/>
          </a:p>
        </c:txPr>
        <c:crossAx val="917522640"/>
        <c:crosses val="autoZero"/>
        <c:auto val="1"/>
        <c:lblAlgn val="ctr"/>
        <c:lblOffset val="100"/>
        <c:noMultiLvlLbl val="0"/>
      </c:catAx>
      <c:valAx>
        <c:axId val="91752264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20430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2.xlsx]Profit&amp;Loss!PivotTable7</c:name>
    <c:fmtId val="14"/>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IN" sz="1800" b="1" baseline="0">
                <a:solidFill>
                  <a:schemeClr val="tx1"/>
                </a:solidFill>
              </a:rPr>
              <a:t>Profit/Loss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0215891722898361E-16"/>
              <c:y val="5.13563479864966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2.80125534471799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6.53626247100866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1.8675035631453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5539729307245902E-17"/>
              <c:y val="4.20188301707700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1.1144737895728691E-2"/>
              <c:y val="-5.13563479864966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2.7861844739321602E-3"/>
              <c:y val="-5.60251068943600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2.5539729307245902E-17"/>
              <c:y val="-5.60251068943600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0"/>
              <c:y val="-4.20188301707699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2.7861844739321727E-3"/>
              <c:y val="-4.66875890786332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5.1079458614491805E-17"/>
              <c:y val="-4.66875890786332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8.3585534217965191E-3"/>
              <c:y val="-6.06938658022232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0"/>
              <c:y val="-7.0031383617949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1.0215891722898361E-16"/>
              <c:y val="-5.60251068943599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0"/>
              <c:y val="-6.53626247100866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0"/>
              <c:y val="-6.06938658022232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2.5539729307245902E-17"/>
              <c:y val="4.20188301707700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
              <c:y val="-6.53626247100866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
              <c:y val="1.8675035631453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0"/>
              <c:y val="-2.80125534471799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1.0215891722898361E-16"/>
              <c:y val="5.13563479864966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dLbl>
          <c:idx val="0"/>
          <c:layout>
            <c:manualLayout>
              <c:x val="2.7861844739321602E-3"/>
              <c:y val="-5.60251068943600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dLbl>
          <c:idx val="0"/>
          <c:layout>
            <c:manualLayout>
              <c:x val="-1.1144737895728691E-2"/>
              <c:y val="-5.13563479864966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dLbl>
          <c:idx val="0"/>
          <c:layout>
            <c:manualLayout>
              <c:x val="-2.5539729307245902E-17"/>
              <c:y val="-5.60251068943600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dLbl>
          <c:idx val="0"/>
          <c:layout>
            <c:manualLayout>
              <c:x val="0"/>
              <c:y val="-4.20188301707699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dLbl>
          <c:idx val="0"/>
          <c:layout>
            <c:manualLayout>
              <c:x val="2.7861844739321727E-3"/>
              <c:y val="-4.66875890786332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dLbl>
          <c:idx val="0"/>
          <c:layout>
            <c:manualLayout>
              <c:x val="-5.1079458614491805E-17"/>
              <c:y val="-4.66875890786332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dLbl>
          <c:idx val="0"/>
          <c:layout>
            <c:manualLayout>
              <c:x val="8.3585534217965191E-3"/>
              <c:y val="-6.06938658022232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dLbl>
          <c:idx val="0"/>
          <c:layout>
            <c:manualLayout>
              <c:x val="0"/>
              <c:y val="-7.0031383617949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dLbl>
          <c:idx val="0"/>
          <c:layout>
            <c:manualLayout>
              <c:x val="-1.0215891722898361E-16"/>
              <c:y val="-5.60251068943599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dLbl>
          <c:idx val="0"/>
          <c:layout>
            <c:manualLayout>
              <c:x val="0"/>
              <c:y val="-6.53626247100866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dLbl>
          <c:idx val="0"/>
          <c:layout>
            <c:manualLayout>
              <c:x val="0"/>
              <c:y val="-6.06938658022232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dLbl>
          <c:idx val="0"/>
          <c:layout>
            <c:manualLayout>
              <c:x val="-2.5539729307245902E-17"/>
              <c:y val="4.201883017077005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dLbl>
          <c:idx val="0"/>
          <c:layout>
            <c:manualLayout>
              <c:x val="0"/>
              <c:y val="-6.536262471008660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dLbl>
          <c:idx val="0"/>
          <c:layout>
            <c:manualLayout>
              <c:x val="0"/>
              <c:y val="1.86750356314533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dLbl>
          <c:idx val="0"/>
          <c:layout>
            <c:manualLayout>
              <c:x val="0"/>
              <c:y val="-2.801255344717997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dLbl>
          <c:idx val="0"/>
          <c:layout>
            <c:manualLayout>
              <c:x val="1.0215891722898361E-16"/>
              <c:y val="5.135634798649662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2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dLbl>
          <c:idx val="0"/>
          <c:layout>
            <c:manualLayout>
              <c:x val="2.7861844739321602E-3"/>
              <c:y val="-5.6025106894360001E-2"/>
            </c:manualLayout>
          </c:layout>
          <c:spPr>
            <a:noFill/>
            <a:ln>
              <a:noFill/>
            </a:ln>
            <a:effectLst/>
          </c:spPr>
          <c:txPr>
            <a:bodyPr rot="0" spcFirstLastPara="1" vertOverflow="ellipsis" vert="horz" wrap="square" lIns="38100" tIns="19050" rIns="38100" bIns="19050" anchor="ctr" anchorCtr="1">
              <a:spAutoFit/>
            </a:bodyPr>
            <a:lstStyle/>
            <a:p>
              <a:pPr>
                <a:defRPr sz="152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dLbl>
          <c:idx val="0"/>
          <c:layout>
            <c:manualLayout>
              <c:x val="-1.1144737895728691E-2"/>
              <c:y val="-5.1356347986496624E-2"/>
            </c:manualLayout>
          </c:layout>
          <c:spPr>
            <a:noFill/>
            <a:ln>
              <a:noFill/>
            </a:ln>
            <a:effectLst/>
          </c:spPr>
          <c:txPr>
            <a:bodyPr rot="0" spcFirstLastPara="1" vertOverflow="ellipsis" vert="horz" wrap="square" lIns="38100" tIns="19050" rIns="38100" bIns="19050" anchor="ctr" anchorCtr="1">
              <a:spAutoFit/>
            </a:bodyPr>
            <a:lstStyle/>
            <a:p>
              <a:pPr>
                <a:defRPr sz="152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dLbl>
          <c:idx val="0"/>
          <c:layout>
            <c:manualLayout>
              <c:x val="-2.5539729307245902E-17"/>
              <c:y val="-5.6025106894360001E-2"/>
            </c:manualLayout>
          </c:layout>
          <c:spPr>
            <a:noFill/>
            <a:ln>
              <a:noFill/>
            </a:ln>
            <a:effectLst/>
          </c:spPr>
          <c:txPr>
            <a:bodyPr rot="0" spcFirstLastPara="1" vertOverflow="ellipsis" vert="horz" wrap="square" lIns="38100" tIns="19050" rIns="38100" bIns="19050" anchor="ctr" anchorCtr="1">
              <a:spAutoFit/>
            </a:bodyPr>
            <a:lstStyle/>
            <a:p>
              <a:pPr>
                <a:defRPr sz="152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dLbl>
          <c:idx val="0"/>
          <c:layout>
            <c:manualLayout>
              <c:x val="0"/>
              <c:y val="-4.2018830170769968E-2"/>
            </c:manualLayout>
          </c:layout>
          <c:spPr>
            <a:noFill/>
            <a:ln>
              <a:noFill/>
            </a:ln>
            <a:effectLst/>
          </c:spPr>
          <c:txPr>
            <a:bodyPr rot="0" spcFirstLastPara="1" vertOverflow="ellipsis" vert="horz" wrap="square" lIns="38100" tIns="19050" rIns="38100" bIns="19050" anchor="ctr" anchorCtr="1">
              <a:spAutoFit/>
            </a:bodyPr>
            <a:lstStyle/>
            <a:p>
              <a:pPr>
                <a:defRPr sz="152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c:spPr>
        <c:dLbl>
          <c:idx val="0"/>
          <c:layout>
            <c:manualLayout>
              <c:x val="2.7861844739321727E-3"/>
              <c:y val="-4.6687589078633296E-2"/>
            </c:manualLayout>
          </c:layout>
          <c:spPr>
            <a:noFill/>
            <a:ln>
              <a:noFill/>
            </a:ln>
            <a:effectLst/>
          </c:spPr>
          <c:txPr>
            <a:bodyPr rot="0" spcFirstLastPara="1" vertOverflow="ellipsis" vert="horz" wrap="square" lIns="38100" tIns="19050" rIns="38100" bIns="19050" anchor="ctr" anchorCtr="1">
              <a:spAutoFit/>
            </a:bodyPr>
            <a:lstStyle/>
            <a:p>
              <a:pPr>
                <a:defRPr sz="152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c:spPr>
        <c:dLbl>
          <c:idx val="0"/>
          <c:layout>
            <c:manualLayout>
              <c:x val="-5.1079458614491805E-17"/>
              <c:y val="-4.6687589078633296E-2"/>
            </c:manualLayout>
          </c:layout>
          <c:spPr>
            <a:noFill/>
            <a:ln>
              <a:noFill/>
            </a:ln>
            <a:effectLst/>
          </c:spPr>
          <c:txPr>
            <a:bodyPr rot="0" spcFirstLastPara="1" vertOverflow="ellipsis" vert="horz" wrap="square" lIns="38100" tIns="19050" rIns="38100" bIns="19050" anchor="ctr" anchorCtr="1">
              <a:spAutoFit/>
            </a:bodyPr>
            <a:lstStyle/>
            <a:p>
              <a:pPr>
                <a:defRPr sz="152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2"/>
          </a:solidFill>
          <a:ln>
            <a:noFill/>
          </a:ln>
          <a:effectLst/>
        </c:spPr>
        <c:dLbl>
          <c:idx val="0"/>
          <c:layout>
            <c:manualLayout>
              <c:x val="8.3585534217965191E-3"/>
              <c:y val="-6.0693865802223287E-2"/>
            </c:manualLayout>
          </c:layout>
          <c:spPr>
            <a:noFill/>
            <a:ln>
              <a:noFill/>
            </a:ln>
            <a:effectLst/>
          </c:spPr>
          <c:txPr>
            <a:bodyPr rot="0" spcFirstLastPara="1" vertOverflow="ellipsis" vert="horz" wrap="square" lIns="38100" tIns="19050" rIns="38100" bIns="19050" anchor="ctr" anchorCtr="1">
              <a:spAutoFit/>
            </a:bodyPr>
            <a:lstStyle/>
            <a:p>
              <a:pPr>
                <a:defRPr sz="152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2"/>
          </a:solidFill>
          <a:ln>
            <a:noFill/>
          </a:ln>
          <a:effectLst/>
        </c:spPr>
        <c:dLbl>
          <c:idx val="0"/>
          <c:layout>
            <c:manualLayout>
              <c:x val="0"/>
              <c:y val="-7.0031383617949972E-2"/>
            </c:manualLayout>
          </c:layout>
          <c:spPr>
            <a:noFill/>
            <a:ln>
              <a:noFill/>
            </a:ln>
            <a:effectLst/>
          </c:spPr>
          <c:txPr>
            <a:bodyPr rot="0" spcFirstLastPara="1" vertOverflow="ellipsis" vert="horz" wrap="square" lIns="38100" tIns="19050" rIns="38100" bIns="19050" anchor="ctr" anchorCtr="1">
              <a:spAutoFit/>
            </a:bodyPr>
            <a:lstStyle/>
            <a:p>
              <a:pPr>
                <a:defRPr sz="152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2"/>
          </a:solidFill>
          <a:ln>
            <a:noFill/>
          </a:ln>
          <a:effectLst/>
        </c:spPr>
        <c:dLbl>
          <c:idx val="0"/>
          <c:layout>
            <c:manualLayout>
              <c:x val="-1.0215891722898361E-16"/>
              <c:y val="-5.6025106894359952E-2"/>
            </c:manualLayout>
          </c:layout>
          <c:spPr>
            <a:noFill/>
            <a:ln>
              <a:noFill/>
            </a:ln>
            <a:effectLst/>
          </c:spPr>
          <c:txPr>
            <a:bodyPr rot="0" spcFirstLastPara="1" vertOverflow="ellipsis" vert="horz" wrap="square" lIns="38100" tIns="19050" rIns="38100" bIns="19050" anchor="ctr" anchorCtr="1">
              <a:spAutoFit/>
            </a:bodyPr>
            <a:lstStyle/>
            <a:p>
              <a:pPr>
                <a:defRPr sz="152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2"/>
          </a:solidFill>
          <a:ln>
            <a:noFill/>
          </a:ln>
          <a:effectLst/>
        </c:spPr>
        <c:dLbl>
          <c:idx val="0"/>
          <c:layout>
            <c:manualLayout>
              <c:x val="0"/>
              <c:y val="-6.5362624710086609E-2"/>
            </c:manualLayout>
          </c:layout>
          <c:spPr>
            <a:noFill/>
            <a:ln>
              <a:noFill/>
            </a:ln>
            <a:effectLst/>
          </c:spPr>
          <c:txPr>
            <a:bodyPr rot="0" spcFirstLastPara="1" vertOverflow="ellipsis" vert="horz" wrap="square" lIns="38100" tIns="19050" rIns="38100" bIns="19050" anchor="ctr" anchorCtr="1">
              <a:spAutoFit/>
            </a:bodyPr>
            <a:lstStyle/>
            <a:p>
              <a:pPr>
                <a:defRPr sz="152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2"/>
          </a:solidFill>
          <a:ln>
            <a:noFill/>
          </a:ln>
          <a:effectLst/>
        </c:spPr>
        <c:dLbl>
          <c:idx val="0"/>
          <c:layout>
            <c:manualLayout>
              <c:x val="-1.3467750507645003E-2"/>
              <c:y val="-0.12011416921893069"/>
            </c:manualLayout>
          </c:layout>
          <c:spPr>
            <a:noFill/>
            <a:ln>
              <a:noFill/>
            </a:ln>
            <a:effectLst/>
          </c:spPr>
          <c:txPr>
            <a:bodyPr rot="0" spcFirstLastPara="1" vertOverflow="ellipsis" vert="horz" wrap="square" lIns="38100" tIns="19050" rIns="38100" bIns="19050" anchor="ctr" anchorCtr="1">
              <a:noAutofit/>
            </a:bodyPr>
            <a:lstStyle/>
            <a:p>
              <a:pPr>
                <a:defRPr sz="152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2432793492163361E-2"/>
                  <c:h val="0.28578278803669699"/>
                </c:manualLayout>
              </c15:layout>
            </c:ext>
          </c:extLst>
        </c:dLbl>
      </c:pivotFmt>
    </c:pivotFmts>
    <c:plotArea>
      <c:layout>
        <c:manualLayout>
          <c:layoutTarget val="inner"/>
          <c:xMode val="edge"/>
          <c:yMode val="edge"/>
          <c:x val="7.9247594050743664E-2"/>
          <c:y val="0.14249781277340332"/>
          <c:w val="0.71528762029746285"/>
          <c:h val="0.6249431321084864"/>
        </c:manualLayout>
      </c:layout>
      <c:barChart>
        <c:barDir val="col"/>
        <c:grouping val="stacked"/>
        <c:varyColors val="0"/>
        <c:ser>
          <c:idx val="0"/>
          <c:order val="0"/>
          <c:tx>
            <c:strRef>
              <c:f>'Profit&amp;Loss'!$B$3</c:f>
              <c:strCache>
                <c:ptCount val="1"/>
                <c:pt idx="0">
                  <c:v>Sum of Profit (Billion USD)</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0-FEAF-49F1-AEFA-87080FB6AD16}"/>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1-FEAF-49F1-AEFA-87080FB6AD16}"/>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2-FEAF-49F1-AEFA-87080FB6AD16}"/>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3-FEAF-49F1-AEFA-87080FB6AD16}"/>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4-FEAF-49F1-AEFA-87080FB6AD16}"/>
              </c:ext>
            </c:extLst>
          </c:dPt>
          <c:dLbls>
            <c:dLbl>
              <c:idx val="2"/>
              <c:layout>
                <c:manualLayout>
                  <c:x val="-2.5539729307245902E-17"/>
                  <c:y val="4.20188301707700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EAF-49F1-AEFA-87080FB6AD16}"/>
                </c:ext>
              </c:extLst>
            </c:dLbl>
            <c:dLbl>
              <c:idx val="3"/>
              <c:layout>
                <c:manualLayout>
                  <c:x val="0"/>
                  <c:y val="-6.5362624710086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EAF-49F1-AEFA-87080FB6AD16}"/>
                </c:ext>
              </c:extLst>
            </c:dLbl>
            <c:dLbl>
              <c:idx val="4"/>
              <c:layout>
                <c:manualLayout>
                  <c:x val="0"/>
                  <c:y val="1.8675035631453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EAF-49F1-AEFA-87080FB6AD16}"/>
                </c:ext>
              </c:extLst>
            </c:dLbl>
            <c:dLbl>
              <c:idx val="9"/>
              <c:layout>
                <c:manualLayout>
                  <c:x val="0"/>
                  <c:y val="-2.80125534471799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AF-49F1-AEFA-87080FB6AD16}"/>
                </c:ext>
              </c:extLst>
            </c:dLbl>
            <c:dLbl>
              <c:idx val="10"/>
              <c:layout>
                <c:manualLayout>
                  <c:x val="1.0215891722898361E-16"/>
                  <c:y val="5.13563479864966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EAF-49F1-AEFA-87080FB6AD16}"/>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'Profit&amp;Loss'!$A$4:$A$15</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'Profit&amp;Loss'!$B$4:$B$15</c:f>
              <c:numCache>
                <c:formatCode>General</c:formatCode>
                <c:ptCount val="11"/>
                <c:pt idx="0">
                  <c:v>126.02000000000001</c:v>
                </c:pt>
                <c:pt idx="1">
                  <c:v>100.14</c:v>
                </c:pt>
                <c:pt idx="2">
                  <c:v>97.05</c:v>
                </c:pt>
                <c:pt idx="3">
                  <c:v>100.26999999999998</c:v>
                </c:pt>
                <c:pt idx="4">
                  <c:v>106.71999999999998</c:v>
                </c:pt>
                <c:pt idx="5">
                  <c:v>124</c:v>
                </c:pt>
                <c:pt idx="6">
                  <c:v>113.41999999999999</c:v>
                </c:pt>
                <c:pt idx="7">
                  <c:v>151.53</c:v>
                </c:pt>
                <c:pt idx="8">
                  <c:v>108.42999999999998</c:v>
                </c:pt>
                <c:pt idx="9">
                  <c:v>128.54999999999998</c:v>
                </c:pt>
                <c:pt idx="10">
                  <c:v>107.11</c:v>
                </c:pt>
              </c:numCache>
            </c:numRef>
          </c:val>
          <c:extLst>
            <c:ext xmlns:c16="http://schemas.microsoft.com/office/drawing/2014/chart" uri="{C3380CC4-5D6E-409C-BE32-E72D297353CC}">
              <c16:uniqueId val="{00000005-FEAF-49F1-AEFA-87080FB6AD16}"/>
            </c:ext>
          </c:extLst>
        </c:ser>
        <c:ser>
          <c:idx val="1"/>
          <c:order val="1"/>
          <c:tx>
            <c:strRef>
              <c:f>'Profit&amp;Loss'!$C$3</c:f>
              <c:strCache>
                <c:ptCount val="1"/>
                <c:pt idx="0">
                  <c:v>Sum of Loss (Billion USD)</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6-FEAF-49F1-AEFA-87080FB6AD1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7-FEAF-49F1-AEFA-87080FB6AD16}"/>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8-FEAF-49F1-AEFA-87080FB6AD16}"/>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9-FEAF-49F1-AEFA-87080FB6AD16}"/>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A-FEAF-49F1-AEFA-87080FB6AD16}"/>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B-FEAF-49F1-AEFA-87080FB6AD16}"/>
              </c:ext>
            </c:extLst>
          </c:dPt>
          <c:dPt>
            <c:idx val="6"/>
            <c:invertIfNegative val="0"/>
            <c:bubble3D val="0"/>
            <c:spPr>
              <a:solidFill>
                <a:schemeClr val="accent2"/>
              </a:solidFill>
              <a:ln>
                <a:noFill/>
              </a:ln>
              <a:effectLst/>
            </c:spPr>
            <c:extLst>
              <c:ext xmlns:c16="http://schemas.microsoft.com/office/drawing/2014/chart" uri="{C3380CC4-5D6E-409C-BE32-E72D297353CC}">
                <c16:uniqueId val="{0000000C-FEAF-49F1-AEFA-87080FB6AD16}"/>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D-FEAF-49F1-AEFA-87080FB6AD16}"/>
              </c:ext>
            </c:extLst>
          </c:dPt>
          <c:dPt>
            <c:idx val="8"/>
            <c:invertIfNegative val="0"/>
            <c:bubble3D val="0"/>
            <c:spPr>
              <a:solidFill>
                <a:schemeClr val="accent2"/>
              </a:solidFill>
              <a:ln>
                <a:noFill/>
              </a:ln>
              <a:effectLst/>
            </c:spPr>
            <c:extLst>
              <c:ext xmlns:c16="http://schemas.microsoft.com/office/drawing/2014/chart" uri="{C3380CC4-5D6E-409C-BE32-E72D297353CC}">
                <c16:uniqueId val="{0000000E-FEAF-49F1-AEFA-87080FB6AD16}"/>
              </c:ext>
            </c:extLst>
          </c:dPt>
          <c:dPt>
            <c:idx val="9"/>
            <c:invertIfNegative val="0"/>
            <c:bubble3D val="0"/>
            <c:spPr>
              <a:solidFill>
                <a:schemeClr val="accent2"/>
              </a:solidFill>
              <a:ln>
                <a:noFill/>
              </a:ln>
              <a:effectLst/>
            </c:spPr>
            <c:extLst>
              <c:ext xmlns:c16="http://schemas.microsoft.com/office/drawing/2014/chart" uri="{C3380CC4-5D6E-409C-BE32-E72D297353CC}">
                <c16:uniqueId val="{0000000F-FEAF-49F1-AEFA-87080FB6AD16}"/>
              </c:ext>
            </c:extLst>
          </c:dPt>
          <c:dPt>
            <c:idx val="10"/>
            <c:invertIfNegative val="0"/>
            <c:bubble3D val="0"/>
            <c:spPr>
              <a:solidFill>
                <a:schemeClr val="accent2"/>
              </a:solidFill>
              <a:ln>
                <a:noFill/>
              </a:ln>
              <a:effectLst/>
            </c:spPr>
            <c:extLst>
              <c:ext xmlns:c16="http://schemas.microsoft.com/office/drawing/2014/chart" uri="{C3380CC4-5D6E-409C-BE32-E72D297353CC}">
                <c16:uniqueId val="{00000010-FEAF-49F1-AEFA-87080FB6AD16}"/>
              </c:ext>
            </c:extLst>
          </c:dPt>
          <c:dLbls>
            <c:dLbl>
              <c:idx val="0"/>
              <c:layout>
                <c:manualLayout>
                  <c:x val="2.7861844739321602E-3"/>
                  <c:y val="-5.60251068943600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EAF-49F1-AEFA-87080FB6AD16}"/>
                </c:ext>
              </c:extLst>
            </c:dLbl>
            <c:dLbl>
              <c:idx val="1"/>
              <c:layout>
                <c:manualLayout>
                  <c:x val="-1.1144737895728691E-2"/>
                  <c:y val="-5.13563479864966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EAF-49F1-AEFA-87080FB6AD16}"/>
                </c:ext>
              </c:extLst>
            </c:dLbl>
            <c:dLbl>
              <c:idx val="2"/>
              <c:layout>
                <c:manualLayout>
                  <c:x val="-2.5539729307245902E-17"/>
                  <c:y val="-5.60251068943600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EAF-49F1-AEFA-87080FB6AD16}"/>
                </c:ext>
              </c:extLst>
            </c:dLbl>
            <c:dLbl>
              <c:idx val="3"/>
              <c:layout>
                <c:manualLayout>
                  <c:x val="0"/>
                  <c:y val="-4.20188301707699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EAF-49F1-AEFA-87080FB6AD16}"/>
                </c:ext>
              </c:extLst>
            </c:dLbl>
            <c:dLbl>
              <c:idx val="4"/>
              <c:layout>
                <c:manualLayout>
                  <c:x val="2.7861844739321727E-3"/>
                  <c:y val="-4.66875890786332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EAF-49F1-AEFA-87080FB6AD16}"/>
                </c:ext>
              </c:extLst>
            </c:dLbl>
            <c:dLbl>
              <c:idx val="5"/>
              <c:layout>
                <c:manualLayout>
                  <c:x val="-5.1079458614491805E-17"/>
                  <c:y val="-4.66875890786332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EAF-49F1-AEFA-87080FB6AD16}"/>
                </c:ext>
              </c:extLst>
            </c:dLbl>
            <c:dLbl>
              <c:idx val="6"/>
              <c:layout>
                <c:manualLayout>
                  <c:x val="8.3585534217965191E-3"/>
                  <c:y val="-6.06938658022232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EAF-49F1-AEFA-87080FB6AD16}"/>
                </c:ext>
              </c:extLst>
            </c:dLbl>
            <c:dLbl>
              <c:idx val="7"/>
              <c:layout>
                <c:manualLayout>
                  <c:x val="0"/>
                  <c:y val="-7.0031383617949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EAF-49F1-AEFA-87080FB6AD16}"/>
                </c:ext>
              </c:extLst>
            </c:dLbl>
            <c:dLbl>
              <c:idx val="8"/>
              <c:layout>
                <c:manualLayout>
                  <c:x val="-1.0215891722898361E-16"/>
                  <c:y val="-5.60251068943599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EAF-49F1-AEFA-87080FB6AD16}"/>
                </c:ext>
              </c:extLst>
            </c:dLbl>
            <c:dLbl>
              <c:idx val="9"/>
              <c:layout>
                <c:manualLayout>
                  <c:x val="0"/>
                  <c:y val="-6.5362624710086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EAF-49F1-AEFA-87080FB6AD16}"/>
                </c:ext>
              </c:extLst>
            </c:dLbl>
            <c:dLbl>
              <c:idx val="10"/>
              <c:layout>
                <c:manualLayout>
                  <c:x val="-1.3467750507645003E-2"/>
                  <c:y val="-0.12011416921893069"/>
                </c:manualLayout>
              </c:layout>
              <c:spPr>
                <a:noFill/>
                <a:ln>
                  <a:noFill/>
                </a:ln>
                <a:effectLst/>
              </c:spPr>
              <c:txPr>
                <a:bodyPr rot="0" spcFirstLastPara="1" vertOverflow="ellipsis" vert="horz" wrap="square" lIns="38100" tIns="19050" rIns="38100" bIns="19050" anchor="ctr" anchorCtr="1">
                  <a:noAutofit/>
                </a:bodyPr>
                <a:lstStyle/>
                <a:p>
                  <a:pPr>
                    <a:defRPr sz="152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2432793492163361E-2"/>
                      <c:h val="0.28578278803669699"/>
                    </c:manualLayout>
                  </c15:layout>
                </c:ext>
                <c:ext xmlns:c16="http://schemas.microsoft.com/office/drawing/2014/chart" uri="{C3380CC4-5D6E-409C-BE32-E72D297353CC}">
                  <c16:uniqueId val="{00000010-FEAF-49F1-AEFA-87080FB6AD16}"/>
                </c:ext>
              </c:extLst>
            </c:dLbl>
            <c:spPr>
              <a:noFill/>
              <a:ln>
                <a:noFill/>
              </a:ln>
              <a:effectLst/>
            </c:spPr>
            <c:txPr>
              <a:bodyPr rot="0" spcFirstLastPara="1" vertOverflow="ellipsis" vert="horz" wrap="square" lIns="38100" tIns="19050" rIns="38100" bIns="19050" anchor="ctr" anchorCtr="1">
                <a:spAutoFit/>
              </a:bodyPr>
              <a:lstStyle/>
              <a:p>
                <a:pPr>
                  <a:defRPr sz="152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'Profit&amp;Loss'!$A$4:$A$15</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'Profit&amp;Loss'!$C$4:$C$15</c:f>
              <c:numCache>
                <c:formatCode>General</c:formatCode>
                <c:ptCount val="11"/>
                <c:pt idx="0">
                  <c:v>15.149999999999999</c:v>
                </c:pt>
                <c:pt idx="1">
                  <c:v>11.530000000000001</c:v>
                </c:pt>
                <c:pt idx="2">
                  <c:v>15.449999999999998</c:v>
                </c:pt>
                <c:pt idx="3">
                  <c:v>12.920000000000002</c:v>
                </c:pt>
                <c:pt idx="4">
                  <c:v>12.27</c:v>
                </c:pt>
                <c:pt idx="5">
                  <c:v>11.969999999999999</c:v>
                </c:pt>
                <c:pt idx="6">
                  <c:v>14.589999999999998</c:v>
                </c:pt>
                <c:pt idx="7">
                  <c:v>14.57</c:v>
                </c:pt>
                <c:pt idx="8">
                  <c:v>14.28</c:v>
                </c:pt>
                <c:pt idx="9">
                  <c:v>18.260000000000002</c:v>
                </c:pt>
                <c:pt idx="10">
                  <c:v>17.16</c:v>
                </c:pt>
              </c:numCache>
            </c:numRef>
          </c:val>
          <c:extLst>
            <c:ext xmlns:c16="http://schemas.microsoft.com/office/drawing/2014/chart" uri="{C3380CC4-5D6E-409C-BE32-E72D297353CC}">
              <c16:uniqueId val="{00000011-FEAF-49F1-AEFA-87080FB6AD16}"/>
            </c:ext>
          </c:extLst>
        </c:ser>
        <c:dLbls>
          <c:showLegendKey val="0"/>
          <c:showVal val="1"/>
          <c:showCatName val="0"/>
          <c:showSerName val="0"/>
          <c:showPercent val="0"/>
          <c:showBubbleSize val="0"/>
        </c:dLbls>
        <c:gapWidth val="150"/>
        <c:overlap val="100"/>
        <c:axId val="1041444256"/>
        <c:axId val="1041444736"/>
      </c:barChart>
      <c:catAx>
        <c:axId val="104144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041444736"/>
        <c:crosses val="autoZero"/>
        <c:auto val="1"/>
        <c:lblAlgn val="ctr"/>
        <c:lblOffset val="100"/>
        <c:noMultiLvlLbl val="0"/>
      </c:catAx>
      <c:valAx>
        <c:axId val="104144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041444256"/>
        <c:crosses val="autoZero"/>
        <c:crossBetween val="between"/>
      </c:valAx>
      <c:spPr>
        <a:noFill/>
        <a:ln>
          <a:noFill/>
        </a:ln>
        <a:effectLst/>
      </c:spPr>
    </c:plotArea>
    <c:legend>
      <c:legendPos val="r"/>
      <c:layout>
        <c:manualLayout>
          <c:xMode val="edge"/>
          <c:yMode val="edge"/>
          <c:x val="0.80719639851959091"/>
          <c:y val="0.2424417330579019"/>
          <c:w val="0.18558791377991812"/>
          <c:h val="0.5642522794237542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2.xlsx]User G!PivotTable8</c:name>
    <c:fmtId val="5"/>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IN" baseline="0">
                <a:solidFill>
                  <a:schemeClr val="tx1"/>
                </a:solidFill>
              </a:rPr>
              <a:t>Sum of User Growth in 2026</a:t>
            </a:r>
          </a:p>
        </c:rich>
      </c:tx>
      <c:layout>
        <c:manualLayout>
          <c:xMode val="edge"/>
          <c:yMode val="edge"/>
          <c:x val="0.29244444444444445"/>
          <c:y val="3.6089238845144378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'User G'!$B$3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0AF-4CFA-93C9-130E5B99F6F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0AF-4CFA-93C9-130E5B99F6F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0AF-4CFA-93C9-130E5B99F6F9}"/>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0AF-4CFA-93C9-130E5B99F6F9}"/>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40AF-4CFA-93C9-130E5B99F6F9}"/>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40AF-4CFA-93C9-130E5B99F6F9}"/>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'User G'!$A$4:$A$11</c:f>
              <c:multiLvlStrCache>
                <c:ptCount val="6"/>
                <c:lvl>
                  <c:pt idx="0">
                    <c:v>AI Recommendation Upgrade</c:v>
                  </c:pt>
                  <c:pt idx="1">
                    <c:v>Machine Learning Expansion</c:v>
                  </c:pt>
                  <c:pt idx="2">
                    <c:v>New Business Tools</c:v>
                  </c:pt>
                  <c:pt idx="3">
                    <c:v>Performance Optimization</c:v>
                  </c:pt>
                  <c:pt idx="4">
                    <c:v>Privacy Update</c:v>
                  </c:pt>
                  <c:pt idx="5">
                    <c:v>Security Improvement</c:v>
                  </c:pt>
                </c:lvl>
                <c:lvl>
                  <c:pt idx="0">
                    <c:v>2026</c:v>
                  </c:pt>
                </c:lvl>
              </c:multiLvlStrCache>
            </c:multiLvlStrRef>
          </c:cat>
          <c:val>
            <c:numRef>
              <c:f>'User G'!$B$4:$B$11</c:f>
              <c:numCache>
                <c:formatCode>General</c:formatCode>
                <c:ptCount val="6"/>
                <c:pt idx="0">
                  <c:v>15.409999999999998</c:v>
                </c:pt>
                <c:pt idx="1">
                  <c:v>2.5</c:v>
                </c:pt>
                <c:pt idx="2">
                  <c:v>2.37</c:v>
                </c:pt>
                <c:pt idx="3">
                  <c:v>2.66</c:v>
                </c:pt>
                <c:pt idx="4">
                  <c:v>6.3800000000000008</c:v>
                </c:pt>
                <c:pt idx="5">
                  <c:v>13.27</c:v>
                </c:pt>
              </c:numCache>
            </c:numRef>
          </c:val>
          <c:extLst>
            <c:ext xmlns:c16="http://schemas.microsoft.com/office/drawing/2014/chart" uri="{C3380CC4-5D6E-409C-BE32-E72D297353CC}">
              <c16:uniqueId val="{0000000C-40AF-4CFA-93C9-130E5B99F6F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228630796150477"/>
          <c:y val="5.4450529296922498E-2"/>
          <c:w val="0.33104702537182851"/>
          <c:h val="0.89846544884374013"/>
        </c:manualLayout>
      </c:layout>
      <c:overlay val="0"/>
      <c:spPr>
        <a:solidFill>
          <a:schemeClr val="lt1">
            <a:alpha val="78000"/>
          </a:schemeClr>
        </a:solid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2.xlsx]Monthly AU!PivotTable9</c:name>
    <c:fmtId val="8"/>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800" baseline="0">
                <a:solidFill>
                  <a:schemeClr val="tx1"/>
                </a:solidFill>
              </a:rPr>
              <a:t>Sum of Monthly Active Sales and Performance Sales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11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AU'!$B$3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111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multiLvlStrRef>
              <c:f>'Monthly AU'!$A$4:$A$28</c:f>
              <c:multiLvlStrCache>
                <c:ptCount val="12"/>
                <c:lvl>
                  <c:pt idx="0">
                    <c:v>September</c:v>
                  </c:pt>
                  <c:pt idx="1">
                    <c:v>January</c:v>
                  </c:pt>
                  <c:pt idx="2">
                    <c:v>February</c:v>
                  </c:pt>
                  <c:pt idx="3">
                    <c:v>November</c:v>
                  </c:pt>
                  <c:pt idx="4">
                    <c:v>March</c:v>
                  </c:pt>
                  <c:pt idx="5">
                    <c:v>October</c:v>
                  </c:pt>
                  <c:pt idx="6">
                    <c:v>June</c:v>
                  </c:pt>
                  <c:pt idx="7">
                    <c:v>May</c:v>
                  </c:pt>
                  <c:pt idx="8">
                    <c:v>August</c:v>
                  </c:pt>
                  <c:pt idx="9">
                    <c:v>December</c:v>
                  </c:pt>
                  <c:pt idx="10">
                    <c:v>July</c:v>
                  </c:pt>
                  <c:pt idx="11">
                    <c:v>April</c:v>
                  </c:pt>
                </c:lvl>
                <c:lvl>
                  <c:pt idx="0">
                    <c:v>60.9</c:v>
                  </c:pt>
                  <c:pt idx="1">
                    <c:v>63.89</c:v>
                  </c:pt>
                  <c:pt idx="2">
                    <c:v>69</c:v>
                  </c:pt>
                  <c:pt idx="3">
                    <c:v>75.96</c:v>
                  </c:pt>
                  <c:pt idx="4">
                    <c:v>82.43</c:v>
                  </c:pt>
                  <c:pt idx="5">
                    <c:v>84.24</c:v>
                  </c:pt>
                  <c:pt idx="6">
                    <c:v>84.75</c:v>
                  </c:pt>
                  <c:pt idx="7">
                    <c:v>88.36</c:v>
                  </c:pt>
                  <c:pt idx="8">
                    <c:v>89.25</c:v>
                  </c:pt>
                  <c:pt idx="9">
                    <c:v>90.2</c:v>
                  </c:pt>
                  <c:pt idx="10">
                    <c:v>90.24</c:v>
                  </c:pt>
                  <c:pt idx="11">
                    <c:v>96.88</c:v>
                  </c:pt>
                </c:lvl>
              </c:multiLvlStrCache>
            </c:multiLvlStrRef>
          </c:cat>
          <c:val>
            <c:numRef>
              <c:f>'Monthly AU'!$B$4:$B$28</c:f>
              <c:numCache>
                <c:formatCode>General</c:formatCode>
                <c:ptCount val="12"/>
                <c:pt idx="0">
                  <c:v>2487.29</c:v>
                </c:pt>
                <c:pt idx="1">
                  <c:v>1132.45</c:v>
                </c:pt>
                <c:pt idx="2">
                  <c:v>771.34</c:v>
                </c:pt>
                <c:pt idx="3">
                  <c:v>1195.43</c:v>
                </c:pt>
                <c:pt idx="4">
                  <c:v>2815.35</c:v>
                </c:pt>
                <c:pt idx="5">
                  <c:v>2154.2800000000002</c:v>
                </c:pt>
                <c:pt idx="6">
                  <c:v>1000.22</c:v>
                </c:pt>
                <c:pt idx="7">
                  <c:v>1869.13</c:v>
                </c:pt>
                <c:pt idx="8">
                  <c:v>229.96</c:v>
                </c:pt>
                <c:pt idx="9">
                  <c:v>2098.2800000000002</c:v>
                </c:pt>
                <c:pt idx="10">
                  <c:v>1601.78</c:v>
                </c:pt>
                <c:pt idx="11">
                  <c:v>711.34</c:v>
                </c:pt>
              </c:numCache>
            </c:numRef>
          </c:val>
          <c:smooth val="0"/>
          <c:extLst>
            <c:ext xmlns:c16="http://schemas.microsoft.com/office/drawing/2014/chart" uri="{C3380CC4-5D6E-409C-BE32-E72D297353CC}">
              <c16:uniqueId val="{00000000-71F5-41C2-8E79-864E5E5E5274}"/>
            </c:ext>
          </c:extLst>
        </c:ser>
        <c:dLbls>
          <c:dLblPos val="t"/>
          <c:showLegendKey val="0"/>
          <c:showVal val="1"/>
          <c:showCatName val="0"/>
          <c:showSerName val="0"/>
          <c:showPercent val="0"/>
          <c:showBubbleSize val="0"/>
        </c:dLbls>
        <c:marker val="1"/>
        <c:smooth val="0"/>
        <c:axId val="1121370672"/>
        <c:axId val="1121375952"/>
      </c:lineChart>
      <c:catAx>
        <c:axId val="11213706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50" b="0" i="0" u="none" strike="noStrike" kern="1200" baseline="0">
                <a:solidFill>
                  <a:schemeClr val="tx1"/>
                </a:solidFill>
                <a:latin typeface="+mn-lt"/>
                <a:ea typeface="+mn-ea"/>
                <a:cs typeface="+mn-cs"/>
              </a:defRPr>
            </a:pPr>
            <a:endParaRPr lang="en-US"/>
          </a:p>
        </c:txPr>
        <c:crossAx val="1121375952"/>
        <c:crosses val="autoZero"/>
        <c:auto val="1"/>
        <c:lblAlgn val="ctr"/>
        <c:lblOffset val="100"/>
        <c:noMultiLvlLbl val="0"/>
      </c:catAx>
      <c:valAx>
        <c:axId val="112137595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2137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2.xlsx]Net Income!PivotTable10</c:name>
    <c:fmtId val="2"/>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baseline="0">
                <a:solidFill>
                  <a:schemeClr val="tx1"/>
                </a:solidFill>
              </a:rPr>
              <a:t>Sum of Total Net Income</a:t>
            </a:r>
          </a:p>
        </c:rich>
      </c:tx>
      <c:layout>
        <c:manualLayout>
          <c:xMode val="edge"/>
          <c:yMode val="edge"/>
          <c:x val="0.47144349721645201"/>
          <c:y val="7.626093064843200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4890613203659151E-3"/>
              <c:y val="-0.3044095742132023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3333333333333335E-3"/>
              <c:y val="-0.3131679761462926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2222081031699194E-16"/>
              <c:y val="-0.2428649610930433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0000000000000001E-3"/>
              <c:y val="-0.2428649610930432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2754314739905841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6609593958142687E-3"/>
              <c:y val="-0.2549907844454859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3304796979071343E-3"/>
              <c:y val="-0.316317681970349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52398489535062E-3"/>
              <c:y val="-0.2098025441640074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671839610977183E-3"/>
              <c:y val="-0.3198608238015666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652398489535672E-3"/>
              <c:y val="-0.209802544164007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3304796979071343E-3"/>
              <c:y val="-0.25821851589416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2687907238977084"/>
          <c:w val="0.96724065095194989"/>
          <c:h val="0.5868428994242707"/>
        </c:manualLayout>
      </c:layout>
      <c:bar3DChart>
        <c:barDir val="col"/>
        <c:grouping val="stacked"/>
        <c:varyColors val="0"/>
        <c:ser>
          <c:idx val="0"/>
          <c:order val="0"/>
          <c:tx>
            <c:strRef>
              <c:f>'Net Income'!$B$4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7B64-4B2D-A54A-F604AB5352A3}"/>
              </c:ext>
            </c:extLst>
          </c:dPt>
          <c:dPt>
            <c:idx val="1"/>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7B64-4B2D-A54A-F604AB5352A3}"/>
              </c:ext>
            </c:extLst>
          </c:dPt>
          <c:dPt>
            <c:idx val="2"/>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B64-4B2D-A54A-F604AB5352A3}"/>
              </c:ext>
            </c:extLst>
          </c:dPt>
          <c:dPt>
            <c:idx val="3"/>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7B64-4B2D-A54A-F604AB5352A3}"/>
              </c:ext>
            </c:extLst>
          </c:dPt>
          <c:dPt>
            <c:idx val="4"/>
            <c:invertIfNegative val="0"/>
            <c:bubble3D val="0"/>
            <c:extLst>
              <c:ext xmlns:c16="http://schemas.microsoft.com/office/drawing/2014/chart" uri="{C3380CC4-5D6E-409C-BE32-E72D297353CC}">
                <c16:uniqueId val="{00000007-7B64-4B2D-A54A-F604AB5352A3}"/>
              </c:ext>
            </c:extLst>
          </c:dPt>
          <c:dPt>
            <c:idx val="5"/>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7B64-4B2D-A54A-F604AB5352A3}"/>
              </c:ext>
            </c:extLst>
          </c:dPt>
          <c:dPt>
            <c:idx val="6"/>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B64-4B2D-A54A-F604AB5352A3}"/>
              </c:ext>
            </c:extLst>
          </c:dPt>
          <c:dPt>
            <c:idx val="7"/>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7B64-4B2D-A54A-F604AB5352A3}"/>
              </c:ext>
            </c:extLst>
          </c:dPt>
          <c:dPt>
            <c:idx val="8"/>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B64-4B2D-A54A-F604AB5352A3}"/>
              </c:ext>
            </c:extLst>
          </c:dPt>
          <c:dPt>
            <c:idx val="9"/>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7B64-4B2D-A54A-F604AB5352A3}"/>
              </c:ext>
            </c:extLst>
          </c:dPt>
          <c:dLbls>
            <c:dLbl>
              <c:idx val="0"/>
              <c:layout>
                <c:manualLayout>
                  <c:x val="3.3304796979071343E-3"/>
                  <c:y val="-0.25821851589416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B64-4B2D-A54A-F604AB5352A3}"/>
                </c:ext>
              </c:extLst>
            </c:dLbl>
            <c:dLbl>
              <c:idx val="1"/>
              <c:layout>
                <c:manualLayout>
                  <c:x val="1.6652398489535672E-3"/>
                  <c:y val="-0.209802544164007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B64-4B2D-A54A-F604AB5352A3}"/>
                </c:ext>
              </c:extLst>
            </c:dLbl>
            <c:dLbl>
              <c:idx val="2"/>
              <c:layout>
                <c:manualLayout>
                  <c:x val="1.6652398489535062E-3"/>
                  <c:y val="-0.2098025441640074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B64-4B2D-A54A-F604AB5352A3}"/>
                </c:ext>
              </c:extLst>
            </c:dLbl>
            <c:dLbl>
              <c:idx val="3"/>
              <c:layout>
                <c:manualLayout>
                  <c:x val="3.3304796979071343E-3"/>
                  <c:y val="-0.316317681970349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B64-4B2D-A54A-F604AB5352A3}"/>
                </c:ext>
              </c:extLst>
            </c:dLbl>
            <c:dLbl>
              <c:idx val="4"/>
              <c:layout>
                <c:manualLayout>
                  <c:x val="6.6609593958142687E-3"/>
                  <c:y val="-0.2549907844454859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B64-4B2D-A54A-F604AB5352A3}"/>
                </c:ext>
              </c:extLst>
            </c:dLbl>
            <c:dLbl>
              <c:idx val="5"/>
              <c:layout>
                <c:manualLayout>
                  <c:x val="1.4890613203659151E-3"/>
                  <c:y val="-0.3044095742132023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B64-4B2D-A54A-F604AB5352A3}"/>
                </c:ext>
              </c:extLst>
            </c:dLbl>
            <c:dLbl>
              <c:idx val="6"/>
              <c:layout>
                <c:manualLayout>
                  <c:x val="3.3333333333333335E-3"/>
                  <c:y val="-0.3131679761462926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64-4B2D-A54A-F604AB5352A3}"/>
                </c:ext>
              </c:extLst>
            </c:dLbl>
            <c:dLbl>
              <c:idx val="7"/>
              <c:layout>
                <c:manualLayout>
                  <c:x val="-1.2222081031699194E-16"/>
                  <c:y val="-0.2428649610930433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B64-4B2D-A54A-F604AB5352A3}"/>
                </c:ext>
              </c:extLst>
            </c:dLbl>
            <c:dLbl>
              <c:idx val="8"/>
              <c:layout>
                <c:manualLayout>
                  <c:x val="5.0000000000000001E-3"/>
                  <c:y val="-0.2428649610930432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64-4B2D-A54A-F604AB5352A3}"/>
                </c:ext>
              </c:extLst>
            </c:dLbl>
            <c:dLbl>
              <c:idx val="9"/>
              <c:layout>
                <c:manualLayout>
                  <c:x val="0"/>
                  <c:y val="-0.2754314739905841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B64-4B2D-A54A-F604AB5352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'Net Income'!$A$5:$A$15</c:f>
              <c:strCache>
                <c:ptCount val="10"/>
                <c:pt idx="0">
                  <c:v>2016</c:v>
                </c:pt>
                <c:pt idx="1">
                  <c:v>2017</c:v>
                </c:pt>
                <c:pt idx="2">
                  <c:v>2019</c:v>
                </c:pt>
                <c:pt idx="3">
                  <c:v>2020</c:v>
                </c:pt>
                <c:pt idx="4">
                  <c:v>2021</c:v>
                </c:pt>
                <c:pt idx="5">
                  <c:v>2022</c:v>
                </c:pt>
                <c:pt idx="6">
                  <c:v>2023</c:v>
                </c:pt>
                <c:pt idx="7">
                  <c:v>2024</c:v>
                </c:pt>
                <c:pt idx="8">
                  <c:v>2025</c:v>
                </c:pt>
                <c:pt idx="9">
                  <c:v>2026</c:v>
                </c:pt>
              </c:strCache>
            </c:strRef>
          </c:cat>
          <c:val>
            <c:numRef>
              <c:f>'Net Income'!$B$5:$B$15</c:f>
              <c:numCache>
                <c:formatCode>General</c:formatCode>
                <c:ptCount val="10"/>
                <c:pt idx="0">
                  <c:v>28.43</c:v>
                </c:pt>
                <c:pt idx="1">
                  <c:v>26.240000000000002</c:v>
                </c:pt>
                <c:pt idx="2">
                  <c:v>27.740000000000002</c:v>
                </c:pt>
                <c:pt idx="3">
                  <c:v>20.23</c:v>
                </c:pt>
                <c:pt idx="4">
                  <c:v>29.07</c:v>
                </c:pt>
                <c:pt idx="5">
                  <c:v>15.370000000000001</c:v>
                </c:pt>
                <c:pt idx="6">
                  <c:v>67.64</c:v>
                </c:pt>
                <c:pt idx="7">
                  <c:v>35.119999999999997</c:v>
                </c:pt>
                <c:pt idx="8">
                  <c:v>16.5</c:v>
                </c:pt>
                <c:pt idx="9">
                  <c:v>23.22</c:v>
                </c:pt>
              </c:numCache>
            </c:numRef>
          </c:val>
          <c:extLst>
            <c:ext xmlns:c16="http://schemas.microsoft.com/office/drawing/2014/chart" uri="{C3380CC4-5D6E-409C-BE32-E72D297353CC}">
              <c16:uniqueId val="{00000000-7B64-4B2D-A54A-F604AB5352A3}"/>
            </c:ext>
          </c:extLst>
        </c:ser>
        <c:dLbls>
          <c:showLegendKey val="0"/>
          <c:showVal val="1"/>
          <c:showCatName val="0"/>
          <c:showSerName val="0"/>
          <c:showPercent val="0"/>
          <c:showBubbleSize val="0"/>
        </c:dLbls>
        <c:gapWidth val="150"/>
        <c:shape val="box"/>
        <c:axId val="1063941056"/>
        <c:axId val="1063937696"/>
        <c:axId val="0"/>
      </c:bar3DChart>
      <c:catAx>
        <c:axId val="10639410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063937696"/>
        <c:crosses val="autoZero"/>
        <c:auto val="1"/>
        <c:lblAlgn val="ctr"/>
        <c:lblOffset val="100"/>
        <c:noMultiLvlLbl val="0"/>
      </c:catAx>
      <c:valAx>
        <c:axId val="10639376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6394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2.xlsx]Sheet12!PivotTable11</c:name>
    <c:fmtId val="4"/>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20000"/>
                      <a:lumOff val="8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4506658199045037"/>
          <c:y val="6.2499687539057609E-2"/>
          <c:w val="0.59791715920538402"/>
          <c:h val="0.86230221222347203"/>
        </c:manualLayout>
      </c:layout>
      <c:doughnutChart>
        <c:varyColors val="1"/>
        <c:ser>
          <c:idx val="0"/>
          <c:order val="0"/>
          <c:tx>
            <c:strRef>
              <c:f>Sheet12!$B$3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A66-4CB7-87DD-1F8EA78011B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A66-4CB7-87DD-1F8EA78011B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A66-4CB7-87DD-1F8EA78011B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A66-4CB7-87DD-1F8EA78011B1}"/>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A66-4CB7-87DD-1F8EA78011B1}"/>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DA66-4CB7-87DD-1F8EA78011B1}"/>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DA66-4CB7-87DD-1F8EA78011B1}"/>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DA66-4CB7-87DD-1F8EA78011B1}"/>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DA66-4CB7-87DD-1F8EA78011B1}"/>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DA66-4CB7-87DD-1F8EA78011B1}"/>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DA66-4CB7-87DD-1F8EA78011B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20000"/>
                        <a:lumOff val="8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Sheet12!$A$4:$A$15</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Sheet12!$B$4:$B$15</c:f>
              <c:numCache>
                <c:formatCode>General</c:formatCode>
                <c:ptCount val="11"/>
                <c:pt idx="0">
                  <c:v>111.56</c:v>
                </c:pt>
                <c:pt idx="1">
                  <c:v>128.78</c:v>
                </c:pt>
                <c:pt idx="2">
                  <c:v>119.35000000000001</c:v>
                </c:pt>
                <c:pt idx="3">
                  <c:v>136.67000000000002</c:v>
                </c:pt>
                <c:pt idx="4">
                  <c:v>130.19999999999999</c:v>
                </c:pt>
                <c:pt idx="5">
                  <c:v>142.92000000000002</c:v>
                </c:pt>
                <c:pt idx="6">
                  <c:v>127.29</c:v>
                </c:pt>
                <c:pt idx="7">
                  <c:v>124.79</c:v>
                </c:pt>
                <c:pt idx="8">
                  <c:v>114.21999999999998</c:v>
                </c:pt>
                <c:pt idx="9">
                  <c:v>133.03</c:v>
                </c:pt>
                <c:pt idx="10">
                  <c:v>90.7</c:v>
                </c:pt>
              </c:numCache>
            </c:numRef>
          </c:val>
          <c:extLst>
            <c:ext xmlns:c16="http://schemas.microsoft.com/office/drawing/2014/chart" uri="{C3380CC4-5D6E-409C-BE32-E72D297353CC}">
              <c16:uniqueId val="{00000016-DA66-4CB7-87DD-1F8EA78011B1}"/>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solidFill>
            <a:schemeClr val="accent4">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2.xlsx]Sheet13!PivotTable12</c:name>
    <c:fmtId val="4"/>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accent4">
                      <a:lumMod val="40000"/>
                      <a:lumOff val="6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2277868004291584"/>
          <c:y val="4.962605852097985E-2"/>
          <c:w val="0.60727246885740871"/>
          <c:h val="0.88787432160386315"/>
        </c:manualLayout>
      </c:layout>
      <c:doughnutChart>
        <c:varyColors val="1"/>
        <c:ser>
          <c:idx val="0"/>
          <c:order val="0"/>
          <c:tx>
            <c:strRef>
              <c:f>Sheet13!$B$3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FBD-46D4-83C6-86E920E6070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FBD-46D4-83C6-86E920E6070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FBD-46D4-83C6-86E920E6070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FBD-46D4-83C6-86E920E60707}"/>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FBD-46D4-83C6-86E920E60707}"/>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6FBD-46D4-83C6-86E920E60707}"/>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6FBD-46D4-83C6-86E920E60707}"/>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6FBD-46D4-83C6-86E920E60707}"/>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6FBD-46D4-83C6-86E920E60707}"/>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6FBD-46D4-83C6-86E920E60707}"/>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6FBD-46D4-83C6-86E920E60707}"/>
              </c:ext>
            </c:extLst>
          </c:dPt>
          <c:dLbls>
            <c:spPr>
              <a:noFill/>
              <a:ln>
                <a:noFill/>
              </a:ln>
              <a:effectLst/>
            </c:spPr>
            <c:txPr>
              <a:bodyPr rot="0" spcFirstLastPara="1" vertOverflow="ellipsis" vert="horz" wrap="square" anchor="ctr" anchorCtr="1"/>
              <a:lstStyle/>
              <a:p>
                <a:pPr>
                  <a:defRPr sz="1400" b="1" i="0" u="none" strike="noStrike" kern="1200" baseline="0">
                    <a:solidFill>
                      <a:schemeClr val="accent4">
                        <a:lumMod val="40000"/>
                        <a:lumOff val="6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Sheet13!$A$4:$A$15</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Sheet13!$B$4:$B$15</c:f>
              <c:numCache>
                <c:formatCode>General</c:formatCode>
                <c:ptCount val="11"/>
                <c:pt idx="0">
                  <c:v>134.25</c:v>
                </c:pt>
                <c:pt idx="1">
                  <c:v>104.88999999999999</c:v>
                </c:pt>
                <c:pt idx="2">
                  <c:v>108.67</c:v>
                </c:pt>
                <c:pt idx="3">
                  <c:v>107.44</c:v>
                </c:pt>
                <c:pt idx="4">
                  <c:v>116.25</c:v>
                </c:pt>
                <c:pt idx="5">
                  <c:v>133.39000000000001</c:v>
                </c:pt>
                <c:pt idx="6">
                  <c:v>119.15999999999998</c:v>
                </c:pt>
                <c:pt idx="7">
                  <c:v>160.45000000000002</c:v>
                </c:pt>
                <c:pt idx="8">
                  <c:v>116.52999999999997</c:v>
                </c:pt>
                <c:pt idx="9">
                  <c:v>127.69</c:v>
                </c:pt>
                <c:pt idx="10">
                  <c:v>109.04</c:v>
                </c:pt>
              </c:numCache>
            </c:numRef>
          </c:val>
          <c:extLst>
            <c:ext xmlns:c16="http://schemas.microsoft.com/office/drawing/2014/chart" uri="{C3380CC4-5D6E-409C-BE32-E72D297353CC}">
              <c16:uniqueId val="{00000016-6FBD-46D4-83C6-86E920E60707}"/>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solidFill>
            <a:schemeClr val="accent4">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2.xlsx]Sheet14!PivotTable13</c:name>
    <c:fmtId val="4"/>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162335421899588"/>
          <c:y val="2.6477529542251466E-2"/>
          <c:w val="0.52984615129825929"/>
          <c:h val="0.93380617614437145"/>
        </c:manualLayout>
      </c:layout>
      <c:doughnutChart>
        <c:varyColors val="1"/>
        <c:ser>
          <c:idx val="0"/>
          <c:order val="0"/>
          <c:tx>
            <c:strRef>
              <c:f>Sheet14!$B$3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C15-4152-8A9D-2EE5086CD28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C15-4152-8A9D-2EE5086CD28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C15-4152-8A9D-2EE5086CD28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C15-4152-8A9D-2EE5086CD28B}"/>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EC15-4152-8A9D-2EE5086CD28B}"/>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EC15-4152-8A9D-2EE5086CD28B}"/>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EC15-4152-8A9D-2EE5086CD28B}"/>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EC15-4152-8A9D-2EE5086CD28B}"/>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EC15-4152-8A9D-2EE5086CD28B}"/>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EC15-4152-8A9D-2EE5086CD28B}"/>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EC15-4152-8A9D-2EE5086CD28B}"/>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Sheet14!$A$4:$A$15</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Sheet14!$B$4:$B$15</c:f>
              <c:numCache>
                <c:formatCode>General</c:formatCode>
                <c:ptCount val="11"/>
                <c:pt idx="0">
                  <c:v>126.02000000000001</c:v>
                </c:pt>
                <c:pt idx="1">
                  <c:v>100.14</c:v>
                </c:pt>
                <c:pt idx="2">
                  <c:v>97.05</c:v>
                </c:pt>
                <c:pt idx="3">
                  <c:v>100.26999999999998</c:v>
                </c:pt>
                <c:pt idx="4">
                  <c:v>106.71999999999998</c:v>
                </c:pt>
                <c:pt idx="5">
                  <c:v>124</c:v>
                </c:pt>
                <c:pt idx="6">
                  <c:v>113.41999999999999</c:v>
                </c:pt>
                <c:pt idx="7">
                  <c:v>151.53</c:v>
                </c:pt>
                <c:pt idx="8">
                  <c:v>108.42999999999998</c:v>
                </c:pt>
                <c:pt idx="9">
                  <c:v>128.54999999999998</c:v>
                </c:pt>
                <c:pt idx="10">
                  <c:v>107.11</c:v>
                </c:pt>
              </c:numCache>
            </c:numRef>
          </c:val>
          <c:extLst>
            <c:ext xmlns:c16="http://schemas.microsoft.com/office/drawing/2014/chart" uri="{C3380CC4-5D6E-409C-BE32-E72D297353CC}">
              <c16:uniqueId val="{00000016-EC15-4152-8A9D-2EE5086CD28B}"/>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2.xlsx]Sheet15!PivotTable14</c:name>
    <c:fmtId val="4"/>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116089460622236"/>
          <c:y val="8.5447239449548143E-2"/>
          <c:w val="0.75610971770456759"/>
          <c:h val="0.85934442610270634"/>
        </c:manualLayout>
      </c:layout>
      <c:doughnutChart>
        <c:varyColors val="1"/>
        <c:ser>
          <c:idx val="0"/>
          <c:order val="0"/>
          <c:tx>
            <c:strRef>
              <c:f>Sheet15!$B$3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E6A-46F2-ABC7-B9811261D39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E6A-46F2-ABC7-B9811261D39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E6A-46F2-ABC7-B9811261D39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E6A-46F2-ABC7-B9811261D392}"/>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AE6A-46F2-ABC7-B9811261D392}"/>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AE6A-46F2-ABC7-B9811261D392}"/>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AE6A-46F2-ABC7-B9811261D392}"/>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AE6A-46F2-ABC7-B9811261D392}"/>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AE6A-46F2-ABC7-B9811261D392}"/>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AE6A-46F2-ABC7-B9811261D392}"/>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AE6A-46F2-ABC7-B9811261D39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Sheet15!$A$4:$A$15</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Sheet15!$B$4:$B$15</c:f>
              <c:numCache>
                <c:formatCode>General</c:formatCode>
                <c:ptCount val="11"/>
                <c:pt idx="0">
                  <c:v>68.009999999999991</c:v>
                </c:pt>
                <c:pt idx="1">
                  <c:v>61.339999999999996</c:v>
                </c:pt>
                <c:pt idx="2">
                  <c:v>83.86999999999999</c:v>
                </c:pt>
                <c:pt idx="3">
                  <c:v>14.119999999999997</c:v>
                </c:pt>
                <c:pt idx="4">
                  <c:v>56.19</c:v>
                </c:pt>
                <c:pt idx="5">
                  <c:v>76.209999999999994</c:v>
                </c:pt>
                <c:pt idx="6">
                  <c:v>67.400000000000006</c:v>
                </c:pt>
                <c:pt idx="7">
                  <c:v>63.970000000000006</c:v>
                </c:pt>
                <c:pt idx="8">
                  <c:v>38.08</c:v>
                </c:pt>
                <c:pt idx="9">
                  <c:v>32.160000000000004</c:v>
                </c:pt>
                <c:pt idx="10">
                  <c:v>76.490000000000009</c:v>
                </c:pt>
              </c:numCache>
            </c:numRef>
          </c:val>
          <c:extLst>
            <c:ext xmlns:c16="http://schemas.microsoft.com/office/drawing/2014/chart" uri="{C3380CC4-5D6E-409C-BE32-E72D297353CC}">
              <c16:uniqueId val="{00000016-AE6A-46F2-ABC7-B9811261D392}"/>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 /><Relationship Id="rId13" Type="http://schemas.openxmlformats.org/officeDocument/2006/relationships/chart" Target="../charts/chart11.xml" /><Relationship Id="rId3" Type="http://schemas.openxmlformats.org/officeDocument/2006/relationships/chart" Target="../charts/chart2.xml" /><Relationship Id="rId7" Type="http://schemas.openxmlformats.org/officeDocument/2006/relationships/chart" Target="../charts/chart6.xml" /><Relationship Id="rId12" Type="http://schemas.openxmlformats.org/officeDocument/2006/relationships/chart" Target="../charts/chart10.xml" /><Relationship Id="rId2" Type="http://schemas.openxmlformats.org/officeDocument/2006/relationships/chart" Target="../charts/chart1.xml" /><Relationship Id="rId1" Type="http://schemas.openxmlformats.org/officeDocument/2006/relationships/image" Target="../media/image1.png" /><Relationship Id="rId6" Type="http://schemas.openxmlformats.org/officeDocument/2006/relationships/chart" Target="../charts/chart5.xml" /><Relationship Id="rId11" Type="http://schemas.openxmlformats.org/officeDocument/2006/relationships/chart" Target="../charts/chart9.xml" /><Relationship Id="rId5" Type="http://schemas.openxmlformats.org/officeDocument/2006/relationships/chart" Target="../charts/chart4.xml" /><Relationship Id="rId10" Type="http://schemas.openxmlformats.org/officeDocument/2006/relationships/chart" Target="../charts/chart8.xml" /><Relationship Id="rId4" Type="http://schemas.openxmlformats.org/officeDocument/2006/relationships/chart" Target="../charts/chart3.xml" /><Relationship Id="rId9" Type="http://schemas.openxmlformats.org/officeDocument/2006/relationships/hyperlink" Target="mailto:https://www.meta.com/en-gb/help/quest/1517439565442928/?srsltid=AfmBOopAlvn2jBz3lT8phxS7Tq7j3iT-TeVN79CchsT2hBIy98JJvHbr" TargetMode="External" /></Relationships>
</file>

<file path=xl/drawings/drawing1.xml><?xml version="1.0" encoding="utf-8"?>
<xdr:wsDr xmlns:xdr="http://schemas.openxmlformats.org/drawingml/2006/spreadsheetDrawing" xmlns:a="http://schemas.openxmlformats.org/drawingml/2006/main">
  <xdr:twoCellAnchor editAs="oneCell">
    <xdr:from>
      <xdr:col>2</xdr:col>
      <xdr:colOff>206898</xdr:colOff>
      <xdr:row>0</xdr:row>
      <xdr:rowOff>108498</xdr:rowOff>
    </xdr:from>
    <xdr:to>
      <xdr:col>3</xdr:col>
      <xdr:colOff>242208</xdr:colOff>
      <xdr:row>1</xdr:row>
      <xdr:rowOff>303307</xdr:rowOff>
    </xdr:to>
    <xdr:pic>
      <xdr:nvPicPr>
        <xdr:cNvPr id="3" name="Picture 2">
          <a:extLst>
            <a:ext uri="{FF2B5EF4-FFF2-40B4-BE49-F238E27FC236}">
              <a16:creationId xmlns:a16="http://schemas.microsoft.com/office/drawing/2014/main" id="{FDA526DA-80D1-4A86-72E3-4456920CB3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1541" y="108498"/>
          <a:ext cx="647631" cy="385309"/>
        </a:xfrm>
        <a:prstGeom prst="rect">
          <a:avLst/>
        </a:prstGeom>
      </xdr:spPr>
    </xdr:pic>
    <xdr:clientData/>
  </xdr:twoCellAnchor>
  <xdr:twoCellAnchor>
    <xdr:from>
      <xdr:col>0</xdr:col>
      <xdr:colOff>234220</xdr:colOff>
      <xdr:row>12</xdr:row>
      <xdr:rowOff>140533</xdr:rowOff>
    </xdr:from>
    <xdr:to>
      <xdr:col>15</xdr:col>
      <xdr:colOff>285750</xdr:colOff>
      <xdr:row>30</xdr:row>
      <xdr:rowOff>113008</xdr:rowOff>
    </xdr:to>
    <xdr:graphicFrame macro="">
      <xdr:nvGraphicFramePr>
        <xdr:cNvPr id="4" name="Chart 3">
          <a:extLst>
            <a:ext uri="{FF2B5EF4-FFF2-40B4-BE49-F238E27FC236}">
              <a16:creationId xmlns:a16="http://schemas.microsoft.com/office/drawing/2014/main" id="{644F588E-321E-473E-9138-6B066EDC1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428625</xdr:colOff>
      <xdr:row>12</xdr:row>
      <xdr:rowOff>153917</xdr:rowOff>
    </xdr:from>
    <xdr:to>
      <xdr:col>25</xdr:col>
      <xdr:colOff>245807</xdr:colOff>
      <xdr:row>30</xdr:row>
      <xdr:rowOff>91458</xdr:rowOff>
    </xdr:to>
    <xdr:graphicFrame macro="">
      <xdr:nvGraphicFramePr>
        <xdr:cNvPr id="7" name="Chart 6">
          <a:extLst>
            <a:ext uri="{FF2B5EF4-FFF2-40B4-BE49-F238E27FC236}">
              <a16:creationId xmlns:a16="http://schemas.microsoft.com/office/drawing/2014/main" id="{DDC07BAE-DBD9-4948-9B88-A6988AE76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340179</xdr:colOff>
      <xdr:row>13</xdr:row>
      <xdr:rowOff>85045</xdr:rowOff>
    </xdr:from>
    <xdr:to>
      <xdr:col>25</xdr:col>
      <xdr:colOff>244436</xdr:colOff>
      <xdr:row>23</xdr:row>
      <xdr:rowOff>15186</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9B42B68D-48D3-DC85-905B-F7BC29AE95C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383125" y="3515624"/>
              <a:ext cx="1625561"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207066</xdr:colOff>
      <xdr:row>31</xdr:row>
      <xdr:rowOff>41412</xdr:rowOff>
    </xdr:from>
    <xdr:to>
      <xdr:col>25</xdr:col>
      <xdr:colOff>290594</xdr:colOff>
      <xdr:row>52</xdr:row>
      <xdr:rowOff>82825</xdr:rowOff>
    </xdr:to>
    <xdr:graphicFrame macro="">
      <xdr:nvGraphicFramePr>
        <xdr:cNvPr id="12" name="Chart 12">
          <a:extLst>
            <a:ext uri="{FF2B5EF4-FFF2-40B4-BE49-F238E27FC236}">
              <a16:creationId xmlns:a16="http://schemas.microsoft.com/office/drawing/2014/main" id="{23A4B8F2-FB9A-4286-99DC-2C196A2D0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366684</xdr:colOff>
      <xdr:row>32</xdr:row>
      <xdr:rowOff>171667</xdr:rowOff>
    </xdr:from>
    <xdr:to>
      <xdr:col>25</xdr:col>
      <xdr:colOff>188398</xdr:colOff>
      <xdr:row>44</xdr:row>
      <xdr:rowOff>15875</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A7321F87-33B8-78D4-4BF9-81A7C7835B0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340484" y="7105867"/>
              <a:ext cx="1650514" cy="21302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207067</xdr:colOff>
      <xdr:row>53</xdr:row>
      <xdr:rowOff>59532</xdr:rowOff>
    </xdr:from>
    <xdr:to>
      <xdr:col>14</xdr:col>
      <xdr:colOff>221511</xdr:colOff>
      <xdr:row>76</xdr:row>
      <xdr:rowOff>59531</xdr:rowOff>
    </xdr:to>
    <xdr:graphicFrame macro="">
      <xdr:nvGraphicFramePr>
        <xdr:cNvPr id="17" name="Chart 16">
          <a:extLst>
            <a:ext uri="{FF2B5EF4-FFF2-40B4-BE49-F238E27FC236}">
              <a16:creationId xmlns:a16="http://schemas.microsoft.com/office/drawing/2014/main" id="{12C60717-1D5D-4247-95D6-21F8A3A44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398722</xdr:colOff>
      <xdr:row>53</xdr:row>
      <xdr:rowOff>59531</xdr:rowOff>
    </xdr:from>
    <xdr:to>
      <xdr:col>25</xdr:col>
      <xdr:colOff>306738</xdr:colOff>
      <xdr:row>76</xdr:row>
      <xdr:rowOff>59532</xdr:rowOff>
    </xdr:to>
    <xdr:graphicFrame macro="">
      <xdr:nvGraphicFramePr>
        <xdr:cNvPr id="18" name="Chart 17">
          <a:extLst>
            <a:ext uri="{FF2B5EF4-FFF2-40B4-BE49-F238E27FC236}">
              <a16:creationId xmlns:a16="http://schemas.microsoft.com/office/drawing/2014/main" id="{2F6B2491-CE0F-4CD0-B7DA-533232C6F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214312</xdr:colOff>
      <xdr:row>77</xdr:row>
      <xdr:rowOff>47625</xdr:rowOff>
    </xdr:from>
    <xdr:to>
      <xdr:col>14</xdr:col>
      <xdr:colOff>285750</xdr:colOff>
      <xdr:row>101</xdr:row>
      <xdr:rowOff>79375</xdr:rowOff>
    </xdr:to>
    <xdr:graphicFrame macro="">
      <xdr:nvGraphicFramePr>
        <xdr:cNvPr id="19" name="Chart 18">
          <a:extLst>
            <a:ext uri="{FF2B5EF4-FFF2-40B4-BE49-F238E27FC236}">
              <a16:creationId xmlns:a16="http://schemas.microsoft.com/office/drawing/2014/main" id="{A2841E9E-246C-4317-A9EB-5D82F4D17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434960</xdr:colOff>
      <xdr:row>77</xdr:row>
      <xdr:rowOff>34428</xdr:rowOff>
    </xdr:from>
    <xdr:to>
      <xdr:col>25</xdr:col>
      <xdr:colOff>339026</xdr:colOff>
      <xdr:row>101</xdr:row>
      <xdr:rowOff>64576</xdr:rowOff>
    </xdr:to>
    <xdr:graphicFrame macro="">
      <xdr:nvGraphicFramePr>
        <xdr:cNvPr id="20" name="Chart 19">
          <a:extLst>
            <a:ext uri="{FF2B5EF4-FFF2-40B4-BE49-F238E27FC236}">
              <a16:creationId xmlns:a16="http://schemas.microsoft.com/office/drawing/2014/main" id="{3201C4C5-C272-4F4F-A83B-171C31D2E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23</xdr:col>
      <xdr:colOff>6582</xdr:colOff>
      <xdr:row>77</xdr:row>
      <xdr:rowOff>176122</xdr:rowOff>
    </xdr:from>
    <xdr:to>
      <xdr:col>25</xdr:col>
      <xdr:colOff>235284</xdr:colOff>
      <xdr:row>86</xdr:row>
      <xdr:rowOff>18318</xdr:rowOff>
    </xdr:to>
    <mc:AlternateContent xmlns:mc="http://schemas.openxmlformats.org/markup-compatibility/2006" xmlns:a14="http://schemas.microsoft.com/office/drawing/2010/main">
      <mc:Choice Requires="a14">
        <xdr:graphicFrame macro="">
          <xdr:nvGraphicFramePr>
            <xdr:cNvPr id="21" name="Geographical Data">
              <a:extLst>
                <a:ext uri="{FF2B5EF4-FFF2-40B4-BE49-F238E27FC236}">
                  <a16:creationId xmlns:a16="http://schemas.microsoft.com/office/drawing/2014/main" id="{14E0F502-8DB1-73D4-1523-12C340F7A756}"/>
                </a:ext>
              </a:extLst>
            </xdr:cNvPr>
            <xdr:cNvGraphicFramePr/>
          </xdr:nvGraphicFramePr>
          <xdr:xfrm>
            <a:off x="0" y="0"/>
            <a:ext cx="0" cy="0"/>
          </xdr:xfrm>
          <a:graphic>
            <a:graphicData uri="http://schemas.microsoft.com/office/drawing/2010/slicer">
              <sle:slicer xmlns:sle="http://schemas.microsoft.com/office/drawing/2010/slicer" name="Geographical Data"/>
            </a:graphicData>
          </a:graphic>
        </xdr:graphicFrame>
      </mc:Choice>
      <mc:Fallback xmlns="">
        <xdr:sp macro="" textlink="">
          <xdr:nvSpPr>
            <xdr:cNvPr id="0" name=""/>
            <xdr:cNvSpPr>
              <a:spLocks noTextEdit="1"/>
            </xdr:cNvSpPr>
          </xdr:nvSpPr>
          <xdr:spPr>
            <a:xfrm>
              <a:off x="19589982" y="15682822"/>
              <a:ext cx="1447902" cy="1556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399436</xdr:colOff>
      <xdr:row>0</xdr:row>
      <xdr:rowOff>47624</xdr:rowOff>
    </xdr:from>
    <xdr:to>
      <xdr:col>25</xdr:col>
      <xdr:colOff>322621</xdr:colOff>
      <xdr:row>1</xdr:row>
      <xdr:rowOff>380999</xdr:rowOff>
    </xdr:to>
    <xdr:sp macro="" textlink="">
      <xdr:nvSpPr>
        <xdr:cNvPr id="22" name="Rectangle: Rounded Corners 21">
          <a:hlinkClick xmlns:r="http://schemas.openxmlformats.org/officeDocument/2006/relationships" r:id="rId9"/>
          <a:extLst>
            <a:ext uri="{FF2B5EF4-FFF2-40B4-BE49-F238E27FC236}">
              <a16:creationId xmlns:a16="http://schemas.microsoft.com/office/drawing/2014/main" id="{27B25785-7940-C784-F056-E2DBDE830FE3}"/>
            </a:ext>
          </a:extLst>
        </xdr:cNvPr>
        <xdr:cNvSpPr/>
      </xdr:nvSpPr>
      <xdr:spPr>
        <a:xfrm>
          <a:off x="20079315" y="47624"/>
          <a:ext cx="1152217" cy="517730"/>
        </a:xfrm>
        <a:prstGeom prst="roundRect">
          <a:avLst>
            <a:gd name="adj" fmla="val 50000"/>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r>
            <a:rPr lang="en-IN" sz="2400" b="1"/>
            <a:t>  Visit</a:t>
          </a:r>
          <a:r>
            <a:rPr lang="en-IN" sz="2400" b="1" baseline="0"/>
            <a:t> Us</a:t>
          </a:r>
          <a:endParaRPr lang="en-IN" sz="2400" b="1"/>
        </a:p>
      </xdr:txBody>
    </xdr:sp>
    <xdr:clientData/>
  </xdr:twoCellAnchor>
  <xdr:twoCellAnchor>
    <xdr:from>
      <xdr:col>0</xdr:col>
      <xdr:colOff>254000</xdr:colOff>
      <xdr:row>2</xdr:row>
      <xdr:rowOff>81644</xdr:rowOff>
    </xdr:from>
    <xdr:to>
      <xdr:col>8</xdr:col>
      <xdr:colOff>476250</xdr:colOff>
      <xdr:row>11</xdr:row>
      <xdr:rowOff>707572</xdr:rowOff>
    </xdr:to>
    <xdr:sp macro="" textlink="">
      <xdr:nvSpPr>
        <xdr:cNvPr id="24" name="Rectangle: Rounded Corners 23">
          <a:extLst>
            <a:ext uri="{FF2B5EF4-FFF2-40B4-BE49-F238E27FC236}">
              <a16:creationId xmlns:a16="http://schemas.microsoft.com/office/drawing/2014/main" id="{66BFFEFA-F23F-9C62-1FCF-BFDCE0A41EC3}"/>
            </a:ext>
          </a:extLst>
        </xdr:cNvPr>
        <xdr:cNvSpPr/>
      </xdr:nvSpPr>
      <xdr:spPr>
        <a:xfrm>
          <a:off x="254000" y="684894"/>
          <a:ext cx="5873750" cy="2340428"/>
        </a:xfrm>
        <a:prstGeom prst="roundRect">
          <a:avLst/>
        </a:prstGeom>
        <a:solidFill>
          <a:schemeClr val="accent4">
            <a:lumMod val="40000"/>
            <a:lumOff val="6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2400" b="1"/>
            <a:t>Sum</a:t>
          </a:r>
          <a:r>
            <a:rPr lang="en-IN" sz="2400" b="1" baseline="0"/>
            <a:t> of </a:t>
          </a:r>
        </a:p>
        <a:p>
          <a:pPr algn="l"/>
          <a:r>
            <a:rPr lang="en-IN" sz="2400" b="1" baseline="0"/>
            <a:t>Revenue</a:t>
          </a:r>
        </a:p>
        <a:p>
          <a:pPr algn="l"/>
          <a:r>
            <a:rPr lang="en-IN" sz="2400" b="1" baseline="0"/>
            <a:t>Growth </a:t>
          </a:r>
        </a:p>
        <a:p>
          <a:pPr algn="l"/>
          <a:endParaRPr lang="en-IN" sz="2400" b="1" baseline="0"/>
        </a:p>
        <a:p>
          <a:pPr algn="l"/>
          <a:r>
            <a:rPr lang="en-IN" sz="2400" b="1" baseline="0"/>
            <a:t>1359.51</a:t>
          </a:r>
          <a:endParaRPr lang="en-IN" sz="2400" b="1"/>
        </a:p>
      </xdr:txBody>
    </xdr:sp>
    <xdr:clientData/>
  </xdr:twoCellAnchor>
  <xdr:twoCellAnchor>
    <xdr:from>
      <xdr:col>9</xdr:col>
      <xdr:colOff>158750</xdr:colOff>
      <xdr:row>2</xdr:row>
      <xdr:rowOff>127000</xdr:rowOff>
    </xdr:from>
    <xdr:to>
      <xdr:col>17</xdr:col>
      <xdr:colOff>95250</xdr:colOff>
      <xdr:row>11</xdr:row>
      <xdr:rowOff>712107</xdr:rowOff>
    </xdr:to>
    <xdr:sp macro="" textlink="">
      <xdr:nvSpPr>
        <xdr:cNvPr id="25" name="Rectangle: Rounded Corners 24">
          <a:extLst>
            <a:ext uri="{FF2B5EF4-FFF2-40B4-BE49-F238E27FC236}">
              <a16:creationId xmlns:a16="http://schemas.microsoft.com/office/drawing/2014/main" id="{FF2A1BB5-4C6F-74F4-01AF-34018E616DA8}"/>
            </a:ext>
          </a:extLst>
        </xdr:cNvPr>
        <xdr:cNvSpPr/>
      </xdr:nvSpPr>
      <xdr:spPr>
        <a:xfrm>
          <a:off x="5143500" y="730250"/>
          <a:ext cx="4762500" cy="2299607"/>
        </a:xfrm>
        <a:prstGeom prst="roundRect">
          <a:avLst/>
        </a:prstGeom>
        <a:solidFill>
          <a:schemeClr val="accent4">
            <a:lumMod val="40000"/>
            <a:lumOff val="6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2400" b="1"/>
            <a:t>Sum Of </a:t>
          </a:r>
        </a:p>
        <a:p>
          <a:pPr algn="l"/>
          <a:r>
            <a:rPr lang="en-IN" sz="2400" b="1"/>
            <a:t>Total </a:t>
          </a:r>
        </a:p>
        <a:p>
          <a:pPr algn="l"/>
          <a:r>
            <a:rPr lang="en-IN" sz="2400" b="1"/>
            <a:t>Income</a:t>
          </a:r>
        </a:p>
        <a:p>
          <a:pPr algn="l"/>
          <a:endParaRPr lang="en-IN" sz="2400" b="1"/>
        </a:p>
        <a:p>
          <a:pPr algn="l"/>
          <a:r>
            <a:rPr lang="en-IN" sz="2400" b="1"/>
            <a:t> 1337.76</a:t>
          </a:r>
        </a:p>
      </xdr:txBody>
    </xdr:sp>
    <xdr:clientData/>
  </xdr:twoCellAnchor>
  <xdr:twoCellAnchor>
    <xdr:from>
      <xdr:col>17</xdr:col>
      <xdr:colOff>349250</xdr:colOff>
      <xdr:row>2</xdr:row>
      <xdr:rowOff>127002</xdr:rowOff>
    </xdr:from>
    <xdr:to>
      <xdr:col>20</xdr:col>
      <xdr:colOff>3365499</xdr:colOff>
      <xdr:row>11</xdr:row>
      <xdr:rowOff>671287</xdr:rowOff>
    </xdr:to>
    <xdr:sp macro="" textlink="">
      <xdr:nvSpPr>
        <xdr:cNvPr id="26" name="Rectangle: Rounded Corners 25">
          <a:extLst>
            <a:ext uri="{FF2B5EF4-FFF2-40B4-BE49-F238E27FC236}">
              <a16:creationId xmlns:a16="http://schemas.microsoft.com/office/drawing/2014/main" id="{87AD89C3-E1FC-4D0C-4C2C-2B59135186B1}"/>
            </a:ext>
          </a:extLst>
        </xdr:cNvPr>
        <xdr:cNvSpPr/>
      </xdr:nvSpPr>
      <xdr:spPr>
        <a:xfrm>
          <a:off x="10160000" y="730252"/>
          <a:ext cx="4825999" cy="2258785"/>
        </a:xfrm>
        <a:prstGeom prst="roundRect">
          <a:avLst/>
        </a:prstGeom>
        <a:solidFill>
          <a:schemeClr val="accent4">
            <a:lumMod val="40000"/>
            <a:lumOff val="6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2400" b="1"/>
            <a:t>Sum Of </a:t>
          </a:r>
        </a:p>
        <a:p>
          <a:pPr algn="l"/>
          <a:r>
            <a:rPr lang="en-IN" sz="2400" b="1"/>
            <a:t>Profit</a:t>
          </a:r>
        </a:p>
        <a:p>
          <a:pPr algn="l"/>
          <a:endParaRPr lang="en-IN" sz="2400" b="1"/>
        </a:p>
        <a:p>
          <a:pPr algn="l"/>
          <a:endParaRPr lang="en-IN" sz="2400" b="1"/>
        </a:p>
        <a:p>
          <a:pPr algn="l"/>
          <a:r>
            <a:rPr lang="en-IN" sz="2400" b="1"/>
            <a:t>1263.24</a:t>
          </a:r>
        </a:p>
        <a:p>
          <a:pPr algn="l"/>
          <a:endParaRPr lang="en-IN" sz="2400" b="1"/>
        </a:p>
      </xdr:txBody>
    </xdr:sp>
    <xdr:clientData/>
  </xdr:twoCellAnchor>
  <xdr:twoCellAnchor>
    <xdr:from>
      <xdr:col>3</xdr:col>
      <xdr:colOff>219982</xdr:colOff>
      <xdr:row>3</xdr:row>
      <xdr:rowOff>40822</xdr:rowOff>
    </xdr:from>
    <xdr:to>
      <xdr:col>8</xdr:col>
      <xdr:colOff>238125</xdr:colOff>
      <xdr:row>11</xdr:row>
      <xdr:rowOff>517072</xdr:rowOff>
    </xdr:to>
    <xdr:graphicFrame macro="">
      <xdr:nvGraphicFramePr>
        <xdr:cNvPr id="27" name="Chart 26">
          <a:extLst>
            <a:ext uri="{FF2B5EF4-FFF2-40B4-BE49-F238E27FC236}">
              <a16:creationId xmlns:a16="http://schemas.microsoft.com/office/drawing/2014/main" id="{D7C8E0BC-9F3A-4BC8-BCEE-63396D624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2</xdr:col>
      <xdr:colOff>54428</xdr:colOff>
      <xdr:row>8</xdr:row>
      <xdr:rowOff>27215</xdr:rowOff>
    </xdr:from>
    <xdr:ext cx="184731" cy="436786"/>
    <xdr:sp macro="" textlink="">
      <xdr:nvSpPr>
        <xdr:cNvPr id="29" name="TextBox 28">
          <a:extLst>
            <a:ext uri="{FF2B5EF4-FFF2-40B4-BE49-F238E27FC236}">
              <a16:creationId xmlns:a16="http://schemas.microsoft.com/office/drawing/2014/main" id="{3F72FDE9-CBE0-A5EC-457A-92F36104EDEA}"/>
            </a:ext>
          </a:extLst>
        </xdr:cNvPr>
        <xdr:cNvSpPr txBox="1"/>
      </xdr:nvSpPr>
      <xdr:spPr>
        <a:xfrm>
          <a:off x="1279071" y="1768929"/>
          <a:ext cx="18473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a:p>
          <a:endParaRPr lang="en-IN" sz="1100"/>
        </a:p>
      </xdr:txBody>
    </xdr:sp>
    <xdr:clientData/>
  </xdr:oneCellAnchor>
  <xdr:twoCellAnchor>
    <xdr:from>
      <xdr:col>11</xdr:col>
      <xdr:colOff>521605</xdr:colOff>
      <xdr:row>3</xdr:row>
      <xdr:rowOff>61233</xdr:rowOff>
    </xdr:from>
    <xdr:to>
      <xdr:col>16</xdr:col>
      <xdr:colOff>523874</xdr:colOff>
      <xdr:row>11</xdr:row>
      <xdr:rowOff>510269</xdr:rowOff>
    </xdr:to>
    <xdr:graphicFrame macro="">
      <xdr:nvGraphicFramePr>
        <xdr:cNvPr id="31" name="Chart 30">
          <a:extLst>
            <a:ext uri="{FF2B5EF4-FFF2-40B4-BE49-F238E27FC236}">
              <a16:creationId xmlns:a16="http://schemas.microsoft.com/office/drawing/2014/main" id="{BA3E9306-0261-40EE-9933-A56EA7E24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3540124</xdr:colOff>
      <xdr:row>2</xdr:row>
      <xdr:rowOff>68036</xdr:rowOff>
    </xdr:from>
    <xdr:to>
      <xdr:col>25</xdr:col>
      <xdr:colOff>215081</xdr:colOff>
      <xdr:row>11</xdr:row>
      <xdr:rowOff>639536</xdr:rowOff>
    </xdr:to>
    <xdr:sp macro="" textlink="">
      <xdr:nvSpPr>
        <xdr:cNvPr id="32" name="Rectangle: Rounded Corners 31">
          <a:extLst>
            <a:ext uri="{FF2B5EF4-FFF2-40B4-BE49-F238E27FC236}">
              <a16:creationId xmlns:a16="http://schemas.microsoft.com/office/drawing/2014/main" id="{621CE686-1408-5F20-5060-535CCDEADCA3}"/>
            </a:ext>
          </a:extLst>
        </xdr:cNvPr>
        <xdr:cNvSpPr/>
      </xdr:nvSpPr>
      <xdr:spPr>
        <a:xfrm>
          <a:off x="16644680" y="667189"/>
          <a:ext cx="4479312" cy="2230694"/>
        </a:xfrm>
        <a:prstGeom prst="roundRect">
          <a:avLst/>
        </a:prstGeom>
        <a:solidFill>
          <a:schemeClr val="accent4">
            <a:lumMod val="40000"/>
            <a:lumOff val="6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2400" b="1"/>
            <a:t>Sum of </a:t>
          </a:r>
        </a:p>
        <a:p>
          <a:pPr algn="l"/>
          <a:r>
            <a:rPr lang="en-IN" sz="2400" b="1"/>
            <a:t>Stock </a:t>
          </a:r>
        </a:p>
        <a:p>
          <a:pPr algn="l"/>
          <a:r>
            <a:rPr lang="en-IN" sz="2400" b="1"/>
            <a:t>Price </a:t>
          </a:r>
        </a:p>
        <a:p>
          <a:pPr algn="l"/>
          <a:r>
            <a:rPr lang="en-IN" sz="2400" b="1"/>
            <a:t>Growth</a:t>
          </a:r>
        </a:p>
        <a:p>
          <a:pPr algn="l"/>
          <a:r>
            <a:rPr lang="en-IN" sz="2400" b="1"/>
            <a:t>637.84</a:t>
          </a:r>
        </a:p>
        <a:p>
          <a:pPr algn="l"/>
          <a:endParaRPr lang="en-IN" sz="2400" b="1"/>
        </a:p>
      </xdr:txBody>
    </xdr:sp>
    <xdr:clientData/>
  </xdr:twoCellAnchor>
  <xdr:twoCellAnchor>
    <xdr:from>
      <xdr:col>19</xdr:col>
      <xdr:colOff>381001</xdr:colOff>
      <xdr:row>3</xdr:row>
      <xdr:rowOff>47624</xdr:rowOff>
    </xdr:from>
    <xdr:to>
      <xdr:col>20</xdr:col>
      <xdr:colOff>3159125</xdr:colOff>
      <xdr:row>11</xdr:row>
      <xdr:rowOff>403679</xdr:rowOff>
    </xdr:to>
    <xdr:graphicFrame macro="">
      <xdr:nvGraphicFramePr>
        <xdr:cNvPr id="33" name="Chart 32">
          <a:extLst>
            <a:ext uri="{FF2B5EF4-FFF2-40B4-BE49-F238E27FC236}">
              <a16:creationId xmlns:a16="http://schemas.microsoft.com/office/drawing/2014/main" id="{3CDB4B8A-4760-4D17-846A-80C86E504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333375</xdr:colOff>
      <xdr:row>3</xdr:row>
      <xdr:rowOff>40822</xdr:rowOff>
    </xdr:from>
    <xdr:to>
      <xdr:col>25</xdr:col>
      <xdr:colOff>0</xdr:colOff>
      <xdr:row>11</xdr:row>
      <xdr:rowOff>435429</xdr:rowOff>
    </xdr:to>
    <xdr:graphicFrame macro="">
      <xdr:nvGraphicFramePr>
        <xdr:cNvPr id="34" name="Chart 33">
          <a:extLst>
            <a:ext uri="{FF2B5EF4-FFF2-40B4-BE49-F238E27FC236}">
              <a16:creationId xmlns:a16="http://schemas.microsoft.com/office/drawing/2014/main" id="{112A1F0E-5EE7-47D5-9551-2862BD962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1.583692592591" createdVersion="8" refreshedVersion="8" minRefreshableVersion="3" recordCount="132" xr:uid="{B5A01DC9-B0FE-4F40-9598-91372671AD85}">
  <cacheSource type="worksheet">
    <worksheetSource ref="A1:R133" sheet="Meta_2016_2026"/>
  </cacheSource>
  <cacheFields count="18">
    <cacheField name="Year" numFmtId="0">
      <sharedItems containsSemiMixedTypes="0" containsString="0" containsNumber="1" containsInteger="1" minValue="2016" maxValue="2026" count="11">
        <n v="2016"/>
        <n v="2017"/>
        <n v="2018"/>
        <n v="2019"/>
        <n v="2020"/>
        <n v="2021"/>
        <n v="2022"/>
        <n v="2023"/>
        <n v="2024"/>
        <n v="2025"/>
        <n v="2026"/>
      </sharedItems>
    </cacheField>
    <cacheField name="Month" numFmtId="0">
      <sharedItems count="12">
        <s v="January"/>
        <s v="February"/>
        <s v="March"/>
        <s v="April"/>
        <s v="May"/>
        <s v="June"/>
        <s v="July"/>
        <s v="August"/>
        <s v="September"/>
        <s v="October"/>
        <s v="November"/>
        <s v="December"/>
      </sharedItems>
    </cacheField>
    <cacheField name="Revenue Growth (%)" numFmtId="0">
      <sharedItems containsSemiMixedTypes="0" containsString="0" containsNumber="1" minValue="3.06" maxValue="17.96"/>
    </cacheField>
    <cacheField name="Monthly Active Users (Billion)" numFmtId="0">
      <sharedItems containsSemiMixedTypes="0" containsString="0" containsNumber="1" minValue="1.6" maxValue="3.51"/>
    </cacheField>
    <cacheField name="Profit (Billion USD)" numFmtId="0">
      <sharedItems containsSemiMixedTypes="0" containsString="0" containsNumber="1" minValue="1.61" maxValue="17.940000000000001"/>
    </cacheField>
    <cacheField name="Loss (Billion USD)" numFmtId="0">
      <sharedItems containsSemiMixedTypes="0" containsString="0" containsNumber="1" minValue="0.03" maxValue="2.5"/>
    </cacheField>
    <cacheField name="Monthly Performance Score" numFmtId="0">
      <sharedItems containsSemiMixedTypes="0" containsString="0" containsNumber="1" minValue="60" maxValue="97.85" count="127">
        <n v="71.150000000000006"/>
        <n v="92.36"/>
        <n v="67.819999999999993"/>
        <n v="93.76"/>
        <n v="75.91"/>
        <n v="64.13"/>
        <n v="97.85"/>
        <n v="73.5"/>
        <n v="88.54"/>
        <n v="65.739999999999995"/>
        <n v="74.23"/>
        <n v="77.34"/>
        <n v="97.31"/>
        <n v="87.58"/>
        <n v="67.349999999999994"/>
        <n v="62.55"/>
        <n v="93.5"/>
        <n v="91.53"/>
        <n v="85.42"/>
        <n v="60.43"/>
        <n v="86.75"/>
        <n v="82.71"/>
        <n v="62.32"/>
        <n v="69.11"/>
        <n v="90.66"/>
        <n v="81.72"/>
        <n v="93.97"/>
        <n v="92.83"/>
        <n v="97.22"/>
        <n v="81.91"/>
        <n v="64.540000000000006"/>
        <n v="69.97"/>
        <n v="85.76"/>
        <n v="65.31"/>
        <n v="60.75"/>
        <n v="80.08"/>
        <n v="62.04"/>
        <n v="93.98"/>
        <n v="89.06"/>
        <n v="96.87"/>
        <n v="76.73"/>
        <n v="66.87"/>
        <n v="77.489999999999995"/>
        <n v="60.95"/>
        <n v="95.98"/>
        <n v="67.59"/>
        <n v="85.18"/>
        <n v="92.04"/>
        <n v="74.53"/>
        <n v="73.010000000000005"/>
        <n v="77.599999999999994"/>
        <n v="76.14"/>
        <n v="72.209999999999994"/>
        <n v="78.39"/>
        <n v="95.3"/>
        <n v="90.8"/>
        <n v="91.33"/>
        <n v="60.76"/>
        <n v="71.400000000000006"/>
        <n v="82.39"/>
        <n v="61.34"/>
        <n v="84.96"/>
        <n v="97.28"/>
        <n v="88.36"/>
        <n v="93.55"/>
        <n v="95.13"/>
        <n v="66.83"/>
        <n v="66.05"/>
        <n v="93.25"/>
        <n v="77.2"/>
        <n v="94.94"/>
        <n v="89.25"/>
        <n v="60"/>
        <n v="93.26"/>
        <n v="83.01"/>
        <n v="89.71"/>
        <n v="85.75"/>
        <n v="76.790000000000006"/>
        <n v="66.23"/>
        <n v="69.099999999999994"/>
        <n v="97.56"/>
        <n v="77.569999999999993"/>
        <n v="76.27"/>
        <n v="86.98"/>
        <n v="89.61"/>
        <n v="96.1"/>
        <n v="85.17"/>
        <n v="64.33"/>
        <n v="97.17"/>
        <n v="77.650000000000006"/>
        <n v="93.12"/>
        <n v="85.54"/>
        <n v="97.36"/>
        <n v="73.599999999999994"/>
        <n v="78.91"/>
        <n v="83.08"/>
        <n v="66.03"/>
        <n v="60.77"/>
        <n v="76.349999999999994"/>
        <n v="73.17"/>
        <n v="96.65"/>
        <n v="89.26"/>
        <n v="97.53"/>
        <n v="63.94"/>
        <n v="78.790000000000006"/>
        <n v="86.11"/>
        <n v="87.19"/>
        <n v="90.53"/>
        <n v="95.15"/>
        <n v="61.38"/>
        <n v="62.95"/>
        <n v="81.31"/>
        <n v="84.35"/>
        <n v="90.84"/>
        <n v="64.34"/>
        <n v="62.4"/>
        <n v="76.78"/>
        <n v="63.89"/>
        <n v="69"/>
        <n v="82.43"/>
        <n v="96.88"/>
        <n v="84.75"/>
        <n v="90.24"/>
        <n v="60.9"/>
        <n v="84.24"/>
        <n v="75.959999999999994"/>
        <n v="90.2"/>
      </sharedItems>
    </cacheField>
    <cacheField name="Geographical Data" numFmtId="0">
      <sharedItems count="5">
        <s v="North America"/>
        <s v="Middle East"/>
        <s v="Asia-Pacific"/>
        <s v="Europe"/>
        <s v="Latin America"/>
      </sharedItems>
    </cacheField>
    <cacheField name="User Growth (%)" numFmtId="0">
      <sharedItems containsSemiMixedTypes="0" containsString="0" containsNumber="1" minValue="0.91" maxValue="7.46"/>
    </cacheField>
    <cacheField name="Stock Price Growth (%)" numFmtId="0">
      <sharedItems containsSemiMixedTypes="0" containsString="0" containsNumber="1" minValue="-4.93" maxValue="15.64"/>
    </cacheField>
    <cacheField name="AI Innovations Count" numFmtId="0">
      <sharedItems containsSemiMixedTypes="0" containsString="0" containsNumber="1" containsInteger="1" minValue="1" maxValue="15"/>
    </cacheField>
    <cacheField name="Total Net Income (Billion USD)" numFmtId="0">
      <sharedItems containsSemiMixedTypes="0" containsString="0" containsNumber="1" minValue="1.51" maxValue="20.07"/>
    </cacheField>
    <cacheField name="New Product Launch" numFmtId="0">
      <sharedItems/>
    </cacheField>
    <cacheField name="Major Updates" numFmtId="0">
      <sharedItems count="6">
        <s v="Privacy Update"/>
        <s v="AI Recommendation Upgrade"/>
        <s v="Security Improvement"/>
        <s v="Machine Learning Expansion"/>
        <s v="New Business Tools"/>
        <s v="Performance Optimization"/>
      </sharedItems>
    </cacheField>
    <cacheField name="Monthly Active Sales (Million USD)" numFmtId="0">
      <sharedItems containsSemiMixedTypes="0" containsString="0" containsNumber="1" minValue="203.3" maxValue="2995.98"/>
    </cacheField>
    <cacheField name="Daily Stock Price (USD)" numFmtId="0">
      <sharedItems containsSemiMixedTypes="0" containsString="0" containsNumber="1" minValue="93.41" maxValue="424.63"/>
    </cacheField>
    <cacheField name="Region" numFmtId="0">
      <sharedItems/>
    </cacheField>
    <cacheField name="AI Update" numFmtId="0">
      <sharedItems count="6">
        <s v="Voice AI Enhancement"/>
        <s v="Smart Ads AI"/>
        <s v="Generative AI Rollout"/>
        <s v="LLM Integration"/>
        <s v="Image AI Model"/>
        <s v="AI Assistant Upgrade"/>
      </sharedItems>
    </cacheField>
  </cacheFields>
  <extLst>
    <ext xmlns:x14="http://schemas.microsoft.com/office/spreadsheetml/2009/9/main" uri="{725AE2AE-9491-48be-B2B4-4EB974FC3084}">
      <x14:pivotCacheDefinition pivotCacheId="13251471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
  <r>
    <x v="0"/>
    <x v="0"/>
    <n v="11.37"/>
    <n v="1.6"/>
    <n v="5.6"/>
    <n v="1.1499999999999999"/>
    <x v="0"/>
    <x v="0"/>
    <n v="1.47"/>
    <n v="8.43"/>
    <n v="1"/>
    <n v="6.05"/>
    <s v="VR Headset"/>
    <x v="0"/>
    <n v="462.01"/>
    <n v="146.27000000000001"/>
    <s v="Latin America"/>
    <x v="0"/>
  </r>
  <r>
    <x v="0"/>
    <x v="1"/>
    <n v="6.51"/>
    <n v="1.61"/>
    <n v="4.07"/>
    <n v="2.04"/>
    <x v="1"/>
    <x v="1"/>
    <n v="6.65"/>
    <n v="14.58"/>
    <n v="8"/>
    <n v="4.12"/>
    <s v="Ad Platform Upgrade"/>
    <x v="1"/>
    <n v="637.32000000000005"/>
    <n v="106.68"/>
    <s v="Middle East"/>
    <x v="1"/>
  </r>
  <r>
    <x v="0"/>
    <x v="2"/>
    <n v="5"/>
    <n v="1.62"/>
    <n v="16.96"/>
    <n v="0.28999999999999998"/>
    <x v="2"/>
    <x v="2"/>
    <n v="2.2000000000000002"/>
    <n v="0.31"/>
    <n v="13"/>
    <n v="18.579999999999998"/>
    <s v="WhatsApp Update"/>
    <x v="2"/>
    <n v="2907.58"/>
    <n v="111.12"/>
    <s v="North America"/>
    <x v="2"/>
  </r>
  <r>
    <x v="0"/>
    <x v="3"/>
    <n v="14.61"/>
    <n v="1.63"/>
    <n v="8.82"/>
    <n v="1.35"/>
    <x v="3"/>
    <x v="1"/>
    <n v="5.7"/>
    <n v="11.44"/>
    <n v="13"/>
    <n v="9.39"/>
    <s v="Instagram Feature"/>
    <x v="3"/>
    <n v="2017.44"/>
    <n v="130.69999999999999"/>
    <s v="Asia-Pacific"/>
    <x v="3"/>
  </r>
  <r>
    <x v="0"/>
    <x v="4"/>
    <n v="6.37"/>
    <n v="1.64"/>
    <n v="3.34"/>
    <n v="2.2799999999999998"/>
    <x v="4"/>
    <x v="3"/>
    <n v="6.67"/>
    <n v="-1.1499999999999999"/>
    <n v="5"/>
    <n v="3.75"/>
    <s v="Meta AI Tools"/>
    <x v="4"/>
    <n v="1924.49"/>
    <n v="106.14"/>
    <s v="Europe"/>
    <x v="1"/>
  </r>
  <r>
    <x v="0"/>
    <x v="5"/>
    <n v="17.43"/>
    <n v="1.65"/>
    <n v="4.4000000000000004"/>
    <n v="0.42"/>
    <x v="5"/>
    <x v="4"/>
    <n v="2.6"/>
    <n v="0.55000000000000004"/>
    <n v="4"/>
    <n v="5.17"/>
    <s v="Meta AI Tools"/>
    <x v="1"/>
    <n v="1292.82"/>
    <n v="103.34"/>
    <s v="North America"/>
    <x v="4"/>
  </r>
  <r>
    <x v="0"/>
    <x v="6"/>
    <n v="4.08"/>
    <n v="1.66"/>
    <n v="14.35"/>
    <n v="0.73"/>
    <x v="6"/>
    <x v="1"/>
    <n v="2.8"/>
    <n v="7.22"/>
    <n v="8"/>
    <n v="14.92"/>
    <s v="WhatsApp Update"/>
    <x v="2"/>
    <n v="2310.21"/>
    <n v="100.64"/>
    <s v="Europe"/>
    <x v="4"/>
  </r>
  <r>
    <x v="0"/>
    <x v="7"/>
    <n v="10.94"/>
    <n v="1.67"/>
    <n v="17.34"/>
    <n v="1.31"/>
    <x v="7"/>
    <x v="2"/>
    <n v="1.7"/>
    <n v="6.01"/>
    <n v="15"/>
    <n v="18.88"/>
    <s v="VR Headset"/>
    <x v="3"/>
    <n v="2485.71"/>
    <n v="123.45"/>
    <s v="North America"/>
    <x v="3"/>
  </r>
  <r>
    <x v="0"/>
    <x v="8"/>
    <n v="17.95"/>
    <n v="1.68"/>
    <n v="14.83"/>
    <n v="0.79"/>
    <x v="8"/>
    <x v="4"/>
    <n v="6.85"/>
    <n v="0.13"/>
    <n v="11"/>
    <n v="16.920000000000002"/>
    <s v="Meta AI Tools"/>
    <x v="2"/>
    <n v="2869.42"/>
    <n v="93.41"/>
    <s v="Middle East"/>
    <x v="4"/>
  </r>
  <r>
    <x v="0"/>
    <x v="9"/>
    <n v="6.92"/>
    <n v="1.69"/>
    <n v="10.88"/>
    <n v="1.79"/>
    <x v="9"/>
    <x v="2"/>
    <n v="2.38"/>
    <n v="13.47"/>
    <n v="12"/>
    <n v="10.3"/>
    <s v="WhatsApp Update"/>
    <x v="4"/>
    <n v="686.05"/>
    <n v="139.55000000000001"/>
    <s v="North America"/>
    <x v="5"/>
  </r>
  <r>
    <x v="0"/>
    <x v="10"/>
    <n v="5.09"/>
    <n v="1.7"/>
    <n v="10.95"/>
    <n v="0.81"/>
    <x v="10"/>
    <x v="3"/>
    <n v="4.8099999999999996"/>
    <n v="-3.5"/>
    <n v="12"/>
    <n v="12.95"/>
    <s v="Instagram Feature"/>
    <x v="4"/>
    <n v="1315.63"/>
    <n v="127.39"/>
    <s v="North America"/>
    <x v="1"/>
  </r>
  <r>
    <x v="0"/>
    <x v="11"/>
    <n v="5.29"/>
    <n v="1.71"/>
    <n v="14.48"/>
    <n v="2.19"/>
    <x v="11"/>
    <x v="4"/>
    <n v="4.4800000000000004"/>
    <n v="10.52"/>
    <n v="8"/>
    <n v="13.22"/>
    <s v="Instagram Feature"/>
    <x v="5"/>
    <n v="1256.6500000000001"/>
    <n v="101.38"/>
    <s v="Europe"/>
    <x v="0"/>
  </r>
  <r>
    <x v="1"/>
    <x v="0"/>
    <n v="16.14"/>
    <n v="1.78"/>
    <n v="16.55"/>
    <n v="1.03"/>
    <x v="12"/>
    <x v="2"/>
    <n v="6.29"/>
    <n v="-0.24"/>
    <n v="12"/>
    <n v="16.489999999999998"/>
    <s v="Ad Platform Upgrade"/>
    <x v="4"/>
    <n v="857.64"/>
    <n v="175.95"/>
    <s v="Europe"/>
    <x v="0"/>
  </r>
  <r>
    <x v="1"/>
    <x v="1"/>
    <n v="13.54"/>
    <n v="1.79"/>
    <n v="13.48"/>
    <n v="0.18"/>
    <x v="13"/>
    <x v="3"/>
    <n v="3.33"/>
    <n v="11.94"/>
    <n v="4"/>
    <n v="13.92"/>
    <s v="VR Headset"/>
    <x v="0"/>
    <n v="203.3"/>
    <n v="128.65"/>
    <s v="Latin America"/>
    <x v="0"/>
  </r>
  <r>
    <x v="1"/>
    <x v="2"/>
    <n v="3.86"/>
    <n v="1.8"/>
    <n v="13.78"/>
    <n v="2.23"/>
    <x v="14"/>
    <x v="4"/>
    <n v="5.23"/>
    <n v="-4.8099999999999996"/>
    <n v="11"/>
    <n v="12.22"/>
    <s v="Ad Platform Upgrade"/>
    <x v="2"/>
    <n v="2995.98"/>
    <n v="174.74"/>
    <s v="North America"/>
    <x v="0"/>
  </r>
  <r>
    <x v="1"/>
    <x v="3"/>
    <n v="6.96"/>
    <n v="1.81"/>
    <n v="11.31"/>
    <n v="0.51"/>
    <x v="15"/>
    <x v="1"/>
    <n v="5.79"/>
    <n v="10.130000000000001"/>
    <n v="6"/>
    <n v="12.59"/>
    <s v="Meta AI Tools"/>
    <x v="1"/>
    <n v="1302.8699999999999"/>
    <n v="162.74"/>
    <s v="Europe"/>
    <x v="2"/>
  </r>
  <r>
    <x v="1"/>
    <x v="4"/>
    <n v="16.170000000000002"/>
    <n v="1.82"/>
    <n v="4.9000000000000004"/>
    <n v="1.05"/>
    <x v="16"/>
    <x v="1"/>
    <n v="1.05"/>
    <n v="12.29"/>
    <n v="9"/>
    <n v="4.97"/>
    <s v="WhatsApp Update"/>
    <x v="5"/>
    <n v="702.19"/>
    <n v="127.95"/>
    <s v="Asia-Pacific"/>
    <x v="1"/>
  </r>
  <r>
    <x v="1"/>
    <x v="5"/>
    <n v="4.75"/>
    <n v="1.83"/>
    <n v="13.04"/>
    <n v="0.5"/>
    <x v="17"/>
    <x v="3"/>
    <n v="7"/>
    <n v="-1.41"/>
    <n v="4"/>
    <n v="13.49"/>
    <s v="VR Headset"/>
    <x v="5"/>
    <n v="1956.65"/>
    <n v="155.41999999999999"/>
    <s v="Europe"/>
    <x v="2"/>
  </r>
  <r>
    <x v="1"/>
    <x v="6"/>
    <n v="9.26"/>
    <n v="1.84"/>
    <n v="1.7"/>
    <n v="0.73"/>
    <x v="18"/>
    <x v="1"/>
    <n v="3.28"/>
    <n v="-1.33"/>
    <n v="10"/>
    <n v="2.1"/>
    <s v="VR Headset"/>
    <x v="0"/>
    <n v="860.25"/>
    <n v="123.87"/>
    <s v="Middle East"/>
    <x v="0"/>
  </r>
  <r>
    <x v="1"/>
    <x v="7"/>
    <n v="10.41"/>
    <n v="1.85"/>
    <n v="6.23"/>
    <n v="0.13"/>
    <x v="19"/>
    <x v="3"/>
    <n v="1.05"/>
    <n v="0.32"/>
    <n v="15"/>
    <n v="7.81"/>
    <s v="Meta AI Tools"/>
    <x v="4"/>
    <n v="2173.04"/>
    <n v="119.68"/>
    <s v="Europe"/>
    <x v="0"/>
  </r>
  <r>
    <x v="1"/>
    <x v="8"/>
    <n v="15.75"/>
    <n v="1.86"/>
    <n v="3.85"/>
    <n v="1.1000000000000001"/>
    <x v="20"/>
    <x v="0"/>
    <n v="7.31"/>
    <n v="9.61"/>
    <n v="4"/>
    <n v="4.97"/>
    <s v="VR Headset"/>
    <x v="4"/>
    <n v="2802.29"/>
    <n v="153.22"/>
    <s v="Asia-Pacific"/>
    <x v="1"/>
  </r>
  <r>
    <x v="1"/>
    <x v="9"/>
    <n v="14.9"/>
    <n v="1.87"/>
    <n v="7.52"/>
    <n v="2.08"/>
    <x v="21"/>
    <x v="1"/>
    <n v="4.82"/>
    <n v="4.66"/>
    <n v="11"/>
    <n v="6.58"/>
    <s v="WhatsApp Update"/>
    <x v="3"/>
    <n v="561.03"/>
    <n v="127.67"/>
    <s v="North America"/>
    <x v="2"/>
  </r>
  <r>
    <x v="1"/>
    <x v="10"/>
    <n v="8.01"/>
    <n v="1.88"/>
    <n v="2.31"/>
    <n v="1.51"/>
    <x v="22"/>
    <x v="0"/>
    <n v="2.56"/>
    <n v="10.4"/>
    <n v="1"/>
    <n v="2.54"/>
    <s v="Ad Platform Upgrade"/>
    <x v="2"/>
    <n v="2088.5500000000002"/>
    <n v="141.74"/>
    <s v="Europe"/>
    <x v="2"/>
  </r>
  <r>
    <x v="1"/>
    <x v="11"/>
    <n v="9.0299999999999994"/>
    <n v="1.89"/>
    <n v="5.47"/>
    <n v="0.48"/>
    <x v="23"/>
    <x v="0"/>
    <n v="1.59"/>
    <n v="9.7799999999999994"/>
    <n v="9"/>
    <n v="7.21"/>
    <s v="Threads Feature"/>
    <x v="5"/>
    <n v="2250.89"/>
    <n v="180.6"/>
    <s v="Asia-Pacific"/>
    <x v="3"/>
  </r>
  <r>
    <x v="2"/>
    <x v="0"/>
    <n v="10.050000000000001"/>
    <n v="1.96"/>
    <n v="2.29"/>
    <n v="1.7"/>
    <x v="24"/>
    <x v="0"/>
    <n v="6.61"/>
    <n v="-2.23"/>
    <n v="7"/>
    <n v="3.22"/>
    <s v="Meta AI Tools"/>
    <x v="4"/>
    <n v="1210.6400000000001"/>
    <n v="159.51"/>
    <s v="Latin America"/>
    <x v="1"/>
  </r>
  <r>
    <x v="2"/>
    <x v="1"/>
    <n v="10.029999999999999"/>
    <n v="1.97"/>
    <n v="6.31"/>
    <n v="0.93"/>
    <x v="25"/>
    <x v="4"/>
    <n v="3.16"/>
    <n v="-3.26"/>
    <n v="9"/>
    <n v="8.2200000000000006"/>
    <s v="Ad Platform Upgrade"/>
    <x v="4"/>
    <n v="860.45"/>
    <n v="171.66"/>
    <s v="North America"/>
    <x v="1"/>
  </r>
  <r>
    <x v="2"/>
    <x v="2"/>
    <n v="5.58"/>
    <n v="1.98"/>
    <n v="15.42"/>
    <n v="1.88"/>
    <x v="26"/>
    <x v="2"/>
    <n v="0.91"/>
    <n v="10.73"/>
    <n v="12"/>
    <n v="16.3"/>
    <s v="Threads Feature"/>
    <x v="4"/>
    <n v="1484.66"/>
    <n v="180.65"/>
    <s v="North America"/>
    <x v="5"/>
  </r>
  <r>
    <x v="2"/>
    <x v="3"/>
    <n v="5.3"/>
    <n v="1.99"/>
    <n v="12.43"/>
    <n v="0.32"/>
    <x v="27"/>
    <x v="0"/>
    <n v="6.16"/>
    <n v="11.85"/>
    <n v="1"/>
    <n v="13.93"/>
    <s v="VR Headset"/>
    <x v="5"/>
    <n v="2515.11"/>
    <n v="155.19"/>
    <s v="North America"/>
    <x v="4"/>
  </r>
  <r>
    <x v="2"/>
    <x v="4"/>
    <n v="9.2200000000000006"/>
    <n v="2"/>
    <n v="13.14"/>
    <n v="0.74"/>
    <x v="28"/>
    <x v="2"/>
    <n v="1.54"/>
    <n v="11.29"/>
    <n v="15"/>
    <n v="14.82"/>
    <s v="VR Headset"/>
    <x v="2"/>
    <n v="2486.94"/>
    <n v="161.62"/>
    <s v="Middle East"/>
    <x v="0"/>
  </r>
  <r>
    <x v="2"/>
    <x v="5"/>
    <n v="6.58"/>
    <n v="2.0099999999999998"/>
    <n v="3.24"/>
    <n v="1.59"/>
    <x v="29"/>
    <x v="0"/>
    <n v="1.04"/>
    <n v="6.83"/>
    <n v="4"/>
    <n v="4.53"/>
    <s v="Threads Feature"/>
    <x v="5"/>
    <n v="2525.35"/>
    <n v="146.57"/>
    <s v="Latin America"/>
    <x v="4"/>
  </r>
  <r>
    <x v="2"/>
    <x v="6"/>
    <n v="13.77"/>
    <n v="2.02"/>
    <n v="13.09"/>
    <n v="0.09"/>
    <x v="30"/>
    <x v="3"/>
    <n v="7.09"/>
    <n v="12.09"/>
    <n v="14"/>
    <n v="16"/>
    <s v="Ad Platform Upgrade"/>
    <x v="5"/>
    <n v="550.9"/>
    <n v="189.5"/>
    <s v="Asia-Pacific"/>
    <x v="5"/>
  </r>
  <r>
    <x v="2"/>
    <x v="7"/>
    <n v="4.12"/>
    <n v="2.0299999999999998"/>
    <n v="10.91"/>
    <n v="1.63"/>
    <x v="31"/>
    <x v="4"/>
    <n v="2.52"/>
    <n v="14.65"/>
    <n v="13"/>
    <n v="11.8"/>
    <s v="Ad Platform Upgrade"/>
    <x v="0"/>
    <n v="906.77"/>
    <n v="156.19999999999999"/>
    <s v="Latin America"/>
    <x v="0"/>
  </r>
  <r>
    <x v="2"/>
    <x v="8"/>
    <n v="17.399999999999999"/>
    <n v="2.04"/>
    <n v="6.26"/>
    <n v="2.1800000000000002"/>
    <x v="32"/>
    <x v="0"/>
    <n v="3.23"/>
    <n v="2.62"/>
    <n v="2"/>
    <n v="5.49"/>
    <s v="VR Headset"/>
    <x v="4"/>
    <n v="2578.35"/>
    <n v="154.44999999999999"/>
    <s v="North America"/>
    <x v="5"/>
  </r>
  <r>
    <x v="2"/>
    <x v="9"/>
    <n v="16.489999999999998"/>
    <n v="2.0499999999999998"/>
    <n v="7.45"/>
    <n v="1.86"/>
    <x v="33"/>
    <x v="0"/>
    <n v="1.57"/>
    <n v="7.02"/>
    <n v="2"/>
    <n v="7.47"/>
    <s v="VR Headset"/>
    <x v="1"/>
    <n v="2870.44"/>
    <n v="161.57"/>
    <s v="Europe"/>
    <x v="5"/>
  </r>
  <r>
    <x v="2"/>
    <x v="10"/>
    <n v="10.11"/>
    <n v="2.06"/>
    <n v="3.69"/>
    <n v="0.93"/>
    <x v="34"/>
    <x v="3"/>
    <n v="4.6900000000000004"/>
    <n v="12.33"/>
    <n v="5"/>
    <n v="3.88"/>
    <s v="Ad Platform Upgrade"/>
    <x v="5"/>
    <n v="2807.96"/>
    <n v="192.73"/>
    <s v="Latin America"/>
    <x v="1"/>
  </r>
  <r>
    <x v="2"/>
    <x v="11"/>
    <n v="10.7"/>
    <n v="2.0699999999999998"/>
    <n v="2.82"/>
    <n v="1.6"/>
    <x v="35"/>
    <x v="0"/>
    <n v="5.65"/>
    <n v="-0.05"/>
    <n v="3"/>
    <n v="3.01"/>
    <s v="Instagram Feature"/>
    <x v="2"/>
    <n v="2843.58"/>
    <n v="149.11000000000001"/>
    <s v="Latin America"/>
    <x v="5"/>
  </r>
  <r>
    <x v="3"/>
    <x v="0"/>
    <n v="9.2100000000000009"/>
    <n v="2.14"/>
    <n v="3.87"/>
    <n v="0.12"/>
    <x v="36"/>
    <x v="2"/>
    <n v="5.4"/>
    <n v="6.63"/>
    <n v="1"/>
    <n v="5.22"/>
    <s v="Ad Platform Upgrade"/>
    <x v="1"/>
    <n v="860.6"/>
    <n v="180.26"/>
    <s v="Europe"/>
    <x v="2"/>
  </r>
  <r>
    <x v="3"/>
    <x v="1"/>
    <n v="17.79"/>
    <n v="2.15"/>
    <n v="12.18"/>
    <n v="2.5"/>
    <x v="37"/>
    <x v="1"/>
    <n v="3.78"/>
    <n v="-3.53"/>
    <n v="9"/>
    <n v="11.8"/>
    <s v="Instagram Feature"/>
    <x v="5"/>
    <n v="2266.64"/>
    <n v="222.31"/>
    <s v="Europe"/>
    <x v="5"/>
  </r>
  <r>
    <x v="3"/>
    <x v="2"/>
    <n v="11.11"/>
    <n v="2.16"/>
    <n v="1.61"/>
    <n v="1.22"/>
    <x v="38"/>
    <x v="4"/>
    <n v="5.45"/>
    <n v="-4.93"/>
    <n v="14"/>
    <n v="1.9"/>
    <s v="Threads Feature"/>
    <x v="2"/>
    <n v="2960.24"/>
    <n v="200.08"/>
    <s v="Europe"/>
    <x v="4"/>
  </r>
  <r>
    <x v="3"/>
    <x v="3"/>
    <n v="6.89"/>
    <n v="2.17"/>
    <n v="9.86"/>
    <n v="2"/>
    <x v="39"/>
    <x v="2"/>
    <n v="4.79"/>
    <n v="-1.57"/>
    <n v="8"/>
    <n v="10.56"/>
    <s v="Ad Platform Upgrade"/>
    <x v="0"/>
    <n v="466.2"/>
    <n v="217.17"/>
    <s v="Europe"/>
    <x v="2"/>
  </r>
  <r>
    <x v="3"/>
    <x v="4"/>
    <n v="6.69"/>
    <n v="2.1800000000000002"/>
    <n v="4.84"/>
    <n v="1.03"/>
    <x v="40"/>
    <x v="4"/>
    <n v="3.05"/>
    <n v="12.03"/>
    <n v="12"/>
    <n v="5.44"/>
    <s v="Threads Feature"/>
    <x v="5"/>
    <n v="2617.4899999999998"/>
    <n v="208.94"/>
    <s v="North America"/>
    <x v="3"/>
  </r>
  <r>
    <x v="3"/>
    <x v="5"/>
    <n v="10.92"/>
    <n v="2.19"/>
    <n v="13.12"/>
    <n v="0.7"/>
    <x v="41"/>
    <x v="2"/>
    <n v="5.01"/>
    <n v="5.0199999999999996"/>
    <n v="1"/>
    <n v="13.59"/>
    <s v="Instagram Feature"/>
    <x v="1"/>
    <n v="2475.64"/>
    <n v="215.02"/>
    <s v="Middle East"/>
    <x v="2"/>
  </r>
  <r>
    <x v="3"/>
    <x v="6"/>
    <n v="4.76"/>
    <n v="2.2000000000000002"/>
    <n v="15.76"/>
    <n v="0.12"/>
    <x v="42"/>
    <x v="4"/>
    <n v="4.57"/>
    <n v="-2.09"/>
    <n v="3"/>
    <n v="16.66"/>
    <s v="WhatsApp Update"/>
    <x v="0"/>
    <n v="934.04"/>
    <n v="200.12"/>
    <s v="Middle East"/>
    <x v="0"/>
  </r>
  <r>
    <x v="3"/>
    <x v="7"/>
    <n v="11.67"/>
    <n v="2.21"/>
    <n v="2.5"/>
    <n v="1.78"/>
    <x v="43"/>
    <x v="3"/>
    <n v="7.25"/>
    <n v="-3.57"/>
    <n v="4"/>
    <n v="3.56"/>
    <s v="Threads Feature"/>
    <x v="3"/>
    <n v="2295"/>
    <n v="210.12"/>
    <s v="Asia-Pacific"/>
    <x v="4"/>
  </r>
  <r>
    <x v="3"/>
    <x v="8"/>
    <n v="16.079999999999998"/>
    <n v="2.2200000000000002"/>
    <n v="15.49"/>
    <n v="1.47"/>
    <x v="44"/>
    <x v="1"/>
    <n v="6.88"/>
    <n v="-3.95"/>
    <n v="7"/>
    <n v="15.94"/>
    <s v="WhatsApp Update"/>
    <x v="2"/>
    <n v="496.91"/>
    <n v="194.04"/>
    <s v="Europe"/>
    <x v="0"/>
  </r>
  <r>
    <x v="3"/>
    <x v="9"/>
    <n v="16.510000000000002"/>
    <n v="2.23"/>
    <n v="4.3499999999999996"/>
    <n v="0.8"/>
    <x v="45"/>
    <x v="3"/>
    <n v="4.95"/>
    <n v="-0.25"/>
    <n v="9"/>
    <n v="5.64"/>
    <s v="Meta AI Tools"/>
    <x v="3"/>
    <n v="1213.57"/>
    <n v="173.04"/>
    <s v="North America"/>
    <x v="4"/>
  </r>
  <r>
    <x v="3"/>
    <x v="10"/>
    <n v="8.19"/>
    <n v="2.2400000000000002"/>
    <n v="12.11"/>
    <n v="0.47"/>
    <x v="46"/>
    <x v="0"/>
    <n v="6.39"/>
    <n v="0.33"/>
    <n v="5"/>
    <n v="12.62"/>
    <s v="Ad Platform Upgrade"/>
    <x v="4"/>
    <n v="1461.13"/>
    <n v="227.62"/>
    <s v="Middle East"/>
    <x v="1"/>
  </r>
  <r>
    <x v="3"/>
    <x v="11"/>
    <n v="16.850000000000001"/>
    <n v="2.25"/>
    <n v="4.58"/>
    <n v="0.71"/>
    <x v="47"/>
    <x v="0"/>
    <n v="5.14"/>
    <n v="10"/>
    <n v="12"/>
    <n v="4.51"/>
    <s v="Threads Feature"/>
    <x v="1"/>
    <n v="446.73"/>
    <n v="174.01"/>
    <s v="Asia-Pacific"/>
    <x v="5"/>
  </r>
  <r>
    <x v="4"/>
    <x v="0"/>
    <n v="16.100000000000001"/>
    <n v="2.3199999999999998"/>
    <n v="16.989999999999998"/>
    <n v="1.03"/>
    <x v="48"/>
    <x v="4"/>
    <n v="2.0499999999999998"/>
    <n v="4.6500000000000004"/>
    <n v="10"/>
    <n v="18.57"/>
    <s v="Instagram Feature"/>
    <x v="4"/>
    <n v="944.52"/>
    <n v="221.79"/>
    <s v="North America"/>
    <x v="2"/>
  </r>
  <r>
    <x v="4"/>
    <x v="1"/>
    <n v="15.81"/>
    <n v="2.33"/>
    <n v="8.9499999999999993"/>
    <n v="1.1399999999999999"/>
    <x v="49"/>
    <x v="3"/>
    <n v="3.13"/>
    <n v="11.13"/>
    <n v="1"/>
    <n v="9.7100000000000009"/>
    <s v="Threads Feature"/>
    <x v="4"/>
    <n v="538.16999999999996"/>
    <n v="252.19"/>
    <s v="Middle East"/>
    <x v="1"/>
  </r>
  <r>
    <x v="4"/>
    <x v="2"/>
    <n v="10.6"/>
    <n v="2.34"/>
    <n v="3.78"/>
    <n v="1.92"/>
    <x v="50"/>
    <x v="0"/>
    <n v="6.71"/>
    <n v="10.8"/>
    <n v="4"/>
    <n v="2.66"/>
    <s v="WhatsApp Update"/>
    <x v="0"/>
    <n v="2650.9"/>
    <n v="229.77"/>
    <s v="Europe"/>
    <x v="1"/>
  </r>
  <r>
    <x v="4"/>
    <x v="3"/>
    <n v="12.58"/>
    <n v="2.35"/>
    <n v="4.04"/>
    <n v="0.78"/>
    <x v="51"/>
    <x v="3"/>
    <n v="2.76"/>
    <n v="5.49"/>
    <n v="4"/>
    <n v="5.84"/>
    <s v="Threads Feature"/>
    <x v="4"/>
    <n v="2824.78"/>
    <n v="215.36"/>
    <s v="Asia-Pacific"/>
    <x v="5"/>
  </r>
  <r>
    <x v="4"/>
    <x v="4"/>
    <n v="11.62"/>
    <n v="2.36"/>
    <n v="2.4700000000000002"/>
    <n v="0.71"/>
    <x v="52"/>
    <x v="3"/>
    <n v="7.2"/>
    <n v="5.41"/>
    <n v="7"/>
    <n v="3.75"/>
    <s v="Ad Platform Upgrade"/>
    <x v="4"/>
    <n v="1528.79"/>
    <n v="263.67"/>
    <s v="Europe"/>
    <x v="2"/>
  </r>
  <r>
    <x v="4"/>
    <x v="5"/>
    <n v="15.78"/>
    <n v="2.37"/>
    <n v="17.420000000000002"/>
    <n v="0.59"/>
    <x v="53"/>
    <x v="3"/>
    <n v="5.18"/>
    <n v="0.41"/>
    <n v="13"/>
    <n v="19.68"/>
    <s v="Threads Feature"/>
    <x v="2"/>
    <n v="2119.1999999999998"/>
    <n v="207.88"/>
    <s v="Asia-Pacific"/>
    <x v="4"/>
  </r>
  <r>
    <x v="4"/>
    <x v="6"/>
    <n v="17.09"/>
    <n v="2.38"/>
    <n v="17.34"/>
    <n v="7.0000000000000007E-2"/>
    <x v="54"/>
    <x v="2"/>
    <n v="6.01"/>
    <n v="7.02"/>
    <n v="6"/>
    <n v="18.45"/>
    <s v="Ad Platform Upgrade"/>
    <x v="1"/>
    <n v="989.83"/>
    <n v="213.45"/>
    <s v="Europe"/>
    <x v="0"/>
  </r>
  <r>
    <x v="4"/>
    <x v="7"/>
    <n v="3.57"/>
    <n v="2.39"/>
    <n v="10.1"/>
    <n v="1.0900000000000001"/>
    <x v="55"/>
    <x v="1"/>
    <n v="3.45"/>
    <n v="15.03"/>
    <n v="9"/>
    <n v="11.49"/>
    <s v="Threads Feature"/>
    <x v="3"/>
    <n v="1810.55"/>
    <n v="219.28"/>
    <s v="North America"/>
    <x v="3"/>
  </r>
  <r>
    <x v="4"/>
    <x v="8"/>
    <n v="7.21"/>
    <n v="2.4"/>
    <n v="7.44"/>
    <n v="0.14000000000000001"/>
    <x v="56"/>
    <x v="1"/>
    <n v="2.4300000000000002"/>
    <n v="-0.25"/>
    <n v="4"/>
    <n v="8.74"/>
    <s v="VR Headset"/>
    <x v="0"/>
    <n v="1934.25"/>
    <n v="221.23"/>
    <s v="Europe"/>
    <x v="4"/>
  </r>
  <r>
    <x v="4"/>
    <x v="9"/>
    <n v="3.32"/>
    <n v="2.41"/>
    <n v="2.25"/>
    <n v="1.32"/>
    <x v="57"/>
    <x v="3"/>
    <n v="1"/>
    <n v="-1.18"/>
    <n v="4"/>
    <n v="1.51"/>
    <s v="VR Headset"/>
    <x v="1"/>
    <n v="1878.32"/>
    <n v="230.17"/>
    <s v="North America"/>
    <x v="2"/>
  </r>
  <r>
    <x v="4"/>
    <x v="10"/>
    <n v="9.25"/>
    <n v="2.42"/>
    <n v="12.74"/>
    <n v="2.23"/>
    <x v="39"/>
    <x v="2"/>
    <n v="6"/>
    <n v="-1.77"/>
    <n v="12"/>
    <n v="11.15"/>
    <s v="Meta AI Tools"/>
    <x v="5"/>
    <n v="529.28"/>
    <n v="199.77"/>
    <s v="Latin America"/>
    <x v="0"/>
  </r>
  <r>
    <x v="4"/>
    <x v="11"/>
    <n v="7.27"/>
    <n v="2.4300000000000002"/>
    <n v="3.2"/>
    <n v="1.25"/>
    <x v="58"/>
    <x v="3"/>
    <n v="2.2200000000000002"/>
    <n v="-0.55000000000000004"/>
    <n v="3"/>
    <n v="4.7"/>
    <s v="Instagram Feature"/>
    <x v="0"/>
    <n v="1598.69"/>
    <n v="205.12"/>
    <s v="Europe"/>
    <x v="4"/>
  </r>
  <r>
    <x v="5"/>
    <x v="0"/>
    <n v="17.649999999999999"/>
    <n v="2.5"/>
    <n v="11"/>
    <n v="0.96"/>
    <x v="59"/>
    <x v="1"/>
    <n v="6.62"/>
    <n v="-4.93"/>
    <n v="9"/>
    <n v="12.17"/>
    <s v="Meta AI Tools"/>
    <x v="4"/>
    <n v="1822.42"/>
    <n v="248.07"/>
    <s v="Latin America"/>
    <x v="4"/>
  </r>
  <r>
    <x v="5"/>
    <x v="1"/>
    <n v="9.94"/>
    <n v="2.5099999999999998"/>
    <n v="2.14"/>
    <n v="0.46"/>
    <x v="60"/>
    <x v="2"/>
    <n v="4.16"/>
    <n v="6.04"/>
    <n v="2"/>
    <n v="4.38"/>
    <s v="VR Headset"/>
    <x v="0"/>
    <n v="2218.39"/>
    <n v="263.85000000000002"/>
    <s v="Latin America"/>
    <x v="5"/>
  </r>
  <r>
    <x v="5"/>
    <x v="2"/>
    <n v="12.83"/>
    <n v="2.52"/>
    <n v="11.02"/>
    <n v="0.05"/>
    <x v="61"/>
    <x v="4"/>
    <n v="2.0499999999999998"/>
    <n v="6.78"/>
    <n v="6"/>
    <n v="12.47"/>
    <s v="WhatsApp Update"/>
    <x v="1"/>
    <n v="1247.53"/>
    <n v="280.94"/>
    <s v="Middle East"/>
    <x v="2"/>
  </r>
  <r>
    <x v="5"/>
    <x v="3"/>
    <n v="4.6500000000000004"/>
    <n v="2.5299999999999998"/>
    <n v="12.49"/>
    <n v="1.67"/>
    <x v="62"/>
    <x v="3"/>
    <n v="6.44"/>
    <n v="15.64"/>
    <n v="5"/>
    <n v="12.63"/>
    <s v="VR Headset"/>
    <x v="3"/>
    <n v="1004.56"/>
    <n v="245.65"/>
    <s v="Middle East"/>
    <x v="0"/>
  </r>
  <r>
    <x v="5"/>
    <x v="4"/>
    <n v="17.100000000000001"/>
    <n v="2.54"/>
    <n v="7.57"/>
    <n v="1.19"/>
    <x v="63"/>
    <x v="4"/>
    <n v="6.8"/>
    <n v="15.11"/>
    <n v="15"/>
    <n v="7.33"/>
    <s v="WhatsApp Update"/>
    <x v="0"/>
    <n v="2342.81"/>
    <n v="265.61"/>
    <s v="Middle East"/>
    <x v="0"/>
  </r>
  <r>
    <x v="5"/>
    <x v="5"/>
    <n v="17.96"/>
    <n v="2.5499999999999998"/>
    <n v="17.3"/>
    <n v="1.18"/>
    <x v="64"/>
    <x v="4"/>
    <n v="3.93"/>
    <n v="14.41"/>
    <n v="3"/>
    <n v="18.77"/>
    <s v="VR Headset"/>
    <x v="2"/>
    <n v="1707.32"/>
    <n v="286.51"/>
    <s v="Latin America"/>
    <x v="0"/>
  </r>
  <r>
    <x v="5"/>
    <x v="6"/>
    <n v="14.04"/>
    <n v="2.56"/>
    <n v="4.01"/>
    <n v="0.32"/>
    <x v="65"/>
    <x v="4"/>
    <n v="5.97"/>
    <n v="-4.92"/>
    <n v="2"/>
    <n v="6.34"/>
    <s v="WhatsApp Update"/>
    <x v="3"/>
    <n v="2401.13"/>
    <n v="239.66"/>
    <s v="Europe"/>
    <x v="3"/>
  </r>
  <r>
    <x v="5"/>
    <x v="7"/>
    <n v="10.15"/>
    <n v="2.57"/>
    <n v="14.55"/>
    <n v="0.93"/>
    <x v="66"/>
    <x v="4"/>
    <n v="3.61"/>
    <n v="-4.67"/>
    <n v="13"/>
    <n v="14.7"/>
    <s v="Instagram Feature"/>
    <x v="1"/>
    <n v="2591"/>
    <n v="234.26"/>
    <s v="Middle East"/>
    <x v="0"/>
  </r>
  <r>
    <x v="5"/>
    <x v="8"/>
    <n v="11.68"/>
    <n v="2.58"/>
    <n v="10.65"/>
    <n v="1.41"/>
    <x v="67"/>
    <x v="4"/>
    <n v="1.73"/>
    <n v="14.06"/>
    <n v="13"/>
    <n v="11.16"/>
    <s v="VR Headset"/>
    <x v="1"/>
    <n v="2483.44"/>
    <n v="225.76"/>
    <s v="Latin America"/>
    <x v="2"/>
  </r>
  <r>
    <x v="5"/>
    <x v="9"/>
    <n v="15.27"/>
    <n v="2.59"/>
    <n v="6.16"/>
    <n v="0.57999999999999996"/>
    <x v="68"/>
    <x v="1"/>
    <n v="3.21"/>
    <n v="9.83"/>
    <n v="2"/>
    <n v="6.9"/>
    <s v="Instagram Feature"/>
    <x v="0"/>
    <n v="1572.59"/>
    <n v="268.02999999999997"/>
    <s v="Europe"/>
    <x v="2"/>
  </r>
  <r>
    <x v="5"/>
    <x v="10"/>
    <n v="3.71"/>
    <n v="2.6"/>
    <n v="10.199999999999999"/>
    <n v="1.03"/>
    <x v="69"/>
    <x v="1"/>
    <n v="5.94"/>
    <n v="-1.05"/>
    <n v="15"/>
    <n v="10"/>
    <s v="Threads Feature"/>
    <x v="2"/>
    <n v="1939.6"/>
    <n v="288.17"/>
    <s v="Asia-Pacific"/>
    <x v="4"/>
  </r>
  <r>
    <x v="5"/>
    <x v="11"/>
    <n v="7.94"/>
    <n v="2.61"/>
    <n v="16.91"/>
    <n v="2.19"/>
    <x v="70"/>
    <x v="2"/>
    <n v="3.97"/>
    <n v="9.91"/>
    <n v="1"/>
    <n v="16.54"/>
    <s v="Threads Feature"/>
    <x v="0"/>
    <n v="1661.9"/>
    <n v="249.78"/>
    <s v="Latin America"/>
    <x v="5"/>
  </r>
  <r>
    <x v="6"/>
    <x v="0"/>
    <n v="16.48"/>
    <n v="2.68"/>
    <n v="4.8099999999999996"/>
    <n v="1.07"/>
    <x v="71"/>
    <x v="1"/>
    <n v="4.22"/>
    <n v="6.53"/>
    <n v="7"/>
    <n v="6.24"/>
    <s v="VR Headset"/>
    <x v="3"/>
    <n v="1203.3800000000001"/>
    <n v="293.83999999999997"/>
    <s v="Europe"/>
    <x v="5"/>
  </r>
  <r>
    <x v="6"/>
    <x v="1"/>
    <n v="6.01"/>
    <n v="2.69"/>
    <n v="10.41"/>
    <n v="1.43"/>
    <x v="72"/>
    <x v="0"/>
    <n v="3.18"/>
    <n v="9.2799999999999994"/>
    <n v="12"/>
    <n v="10.1"/>
    <s v="Ad Platform Upgrade"/>
    <x v="2"/>
    <n v="1314.57"/>
    <n v="264.37"/>
    <s v="Middle East"/>
    <x v="3"/>
  </r>
  <r>
    <x v="6"/>
    <x v="2"/>
    <n v="12.65"/>
    <n v="2.7"/>
    <n v="8.41"/>
    <n v="1.45"/>
    <x v="73"/>
    <x v="1"/>
    <n v="7.21"/>
    <n v="-1.7"/>
    <n v="15"/>
    <n v="9.1300000000000008"/>
    <s v="VR Headset"/>
    <x v="4"/>
    <n v="1867.4"/>
    <n v="318.7"/>
    <s v="Asia-Pacific"/>
    <x v="2"/>
  </r>
  <r>
    <x v="6"/>
    <x v="3"/>
    <n v="7.5"/>
    <n v="2.71"/>
    <n v="2.54"/>
    <n v="1.63"/>
    <x v="74"/>
    <x v="3"/>
    <n v="5.27"/>
    <n v="4.07"/>
    <n v="2"/>
    <n v="3.09"/>
    <s v="WhatsApp Update"/>
    <x v="5"/>
    <n v="708.07"/>
    <n v="309.29000000000002"/>
    <s v="Europe"/>
    <x v="5"/>
  </r>
  <r>
    <x v="6"/>
    <x v="4"/>
    <n v="9.17"/>
    <n v="2.72"/>
    <n v="6.57"/>
    <n v="0.88"/>
    <x v="75"/>
    <x v="0"/>
    <n v="1.5"/>
    <n v="2.06"/>
    <n v="11"/>
    <n v="7.36"/>
    <s v="Ad Platform Upgrade"/>
    <x v="5"/>
    <n v="2648.46"/>
    <n v="284.67"/>
    <s v="North America"/>
    <x v="1"/>
  </r>
  <r>
    <x v="6"/>
    <x v="5"/>
    <n v="16.309999999999999"/>
    <n v="2.73"/>
    <n v="10.92"/>
    <n v="2.48"/>
    <x v="76"/>
    <x v="2"/>
    <n v="6.46"/>
    <n v="14.47"/>
    <n v="15"/>
    <n v="9.5500000000000007"/>
    <s v="VR Headset"/>
    <x v="1"/>
    <n v="2737.65"/>
    <n v="296.58"/>
    <s v="North America"/>
    <x v="5"/>
  </r>
  <r>
    <x v="6"/>
    <x v="6"/>
    <n v="7.1"/>
    <n v="2.74"/>
    <n v="6.5"/>
    <n v="1.96"/>
    <x v="77"/>
    <x v="3"/>
    <n v="0.93"/>
    <n v="-3.27"/>
    <n v="14"/>
    <n v="5.26"/>
    <s v="Meta AI Tools"/>
    <x v="2"/>
    <n v="2453.06"/>
    <n v="279.73"/>
    <s v="Middle East"/>
    <x v="5"/>
  </r>
  <r>
    <x v="6"/>
    <x v="7"/>
    <n v="11.89"/>
    <n v="2.75"/>
    <n v="14.61"/>
    <n v="0.17"/>
    <x v="78"/>
    <x v="4"/>
    <n v="3.67"/>
    <n v="13.41"/>
    <n v="9"/>
    <n v="15.81"/>
    <s v="Threads Feature"/>
    <x v="2"/>
    <n v="2399.92"/>
    <n v="266.45"/>
    <s v="Europe"/>
    <x v="3"/>
  </r>
  <r>
    <x v="6"/>
    <x v="8"/>
    <n v="10.55"/>
    <n v="2.76"/>
    <n v="4.43"/>
    <n v="1.17"/>
    <x v="79"/>
    <x v="3"/>
    <n v="5.24"/>
    <n v="-0.73"/>
    <n v="11"/>
    <n v="5.45"/>
    <s v="Threads Feature"/>
    <x v="1"/>
    <n v="2066.2399999999998"/>
    <n v="293.93"/>
    <s v="Middle East"/>
    <x v="3"/>
  </r>
  <r>
    <x v="6"/>
    <x v="9"/>
    <n v="13.26"/>
    <n v="2.77"/>
    <n v="17.82"/>
    <n v="1.1000000000000001"/>
    <x v="80"/>
    <x v="2"/>
    <n v="4.12"/>
    <n v="10.039999999999999"/>
    <n v="6"/>
    <n v="18.13"/>
    <s v="VR Headset"/>
    <x v="1"/>
    <n v="878.39"/>
    <n v="298.68"/>
    <s v="North America"/>
    <x v="2"/>
  </r>
  <r>
    <x v="6"/>
    <x v="10"/>
    <n v="3.86"/>
    <n v="2.78"/>
    <n v="14.81"/>
    <n v="0.03"/>
    <x v="81"/>
    <x v="0"/>
    <n v="4.67"/>
    <n v="1.54"/>
    <n v="2"/>
    <n v="16.93"/>
    <s v="Instagram Feature"/>
    <x v="1"/>
    <n v="2473.17"/>
    <n v="316.19"/>
    <s v="Asia-Pacific"/>
    <x v="4"/>
  </r>
  <r>
    <x v="6"/>
    <x v="11"/>
    <n v="12.51"/>
    <n v="2.79"/>
    <n v="11.59"/>
    <n v="1.22"/>
    <x v="82"/>
    <x v="3"/>
    <n v="2.19"/>
    <n v="11.7"/>
    <n v="3"/>
    <n v="12.11"/>
    <s v="VR Headset"/>
    <x v="5"/>
    <n v="2787.96"/>
    <n v="267.63"/>
    <s v="Europe"/>
    <x v="3"/>
  </r>
  <r>
    <x v="7"/>
    <x v="0"/>
    <n v="17.13"/>
    <n v="2.86"/>
    <n v="17.940000000000001"/>
    <n v="0.39"/>
    <x v="83"/>
    <x v="0"/>
    <n v="5.0599999999999996"/>
    <n v="0.08"/>
    <n v="10"/>
    <n v="19.14"/>
    <s v="VR Headset"/>
    <x v="0"/>
    <n v="661.47"/>
    <n v="334.45"/>
    <s v="North America"/>
    <x v="4"/>
  </r>
  <r>
    <x v="7"/>
    <x v="1"/>
    <n v="9.3699999999999992"/>
    <n v="2.87"/>
    <n v="16.190000000000001"/>
    <n v="1.55"/>
    <x v="84"/>
    <x v="4"/>
    <n v="5.78"/>
    <n v="10.66"/>
    <n v="8"/>
    <n v="16.62"/>
    <s v="Instagram Feature"/>
    <x v="1"/>
    <n v="2121.94"/>
    <n v="344.47"/>
    <s v="Asia-Pacific"/>
    <x v="0"/>
  </r>
  <r>
    <x v="7"/>
    <x v="2"/>
    <n v="14.35"/>
    <n v="2.88"/>
    <n v="11.05"/>
    <n v="0.33"/>
    <x v="85"/>
    <x v="3"/>
    <n v="7.36"/>
    <n v="3.91"/>
    <n v="13"/>
    <n v="12.92"/>
    <s v="WhatsApp Update"/>
    <x v="2"/>
    <n v="1042.3800000000001"/>
    <n v="292.83999999999997"/>
    <s v="North America"/>
    <x v="4"/>
  </r>
  <r>
    <x v="7"/>
    <x v="3"/>
    <n v="8.42"/>
    <n v="2.89"/>
    <n v="10.31"/>
    <n v="2.12"/>
    <x v="86"/>
    <x v="2"/>
    <n v="1.58"/>
    <n v="11.75"/>
    <n v="7"/>
    <n v="10.48"/>
    <s v="Instagram Feature"/>
    <x v="3"/>
    <n v="2155.33"/>
    <n v="287.7"/>
    <s v="Latin America"/>
    <x v="4"/>
  </r>
  <r>
    <x v="7"/>
    <x v="4"/>
    <n v="3.78"/>
    <n v="2.9"/>
    <n v="16.190000000000001"/>
    <n v="0.88"/>
    <x v="87"/>
    <x v="1"/>
    <n v="5.85"/>
    <n v="-2.4900000000000002"/>
    <n v="15"/>
    <n v="16.29"/>
    <s v="Instagram Feature"/>
    <x v="0"/>
    <n v="398.84"/>
    <n v="295.3"/>
    <s v="Middle East"/>
    <x v="0"/>
  </r>
  <r>
    <x v="7"/>
    <x v="5"/>
    <n v="5.35"/>
    <n v="2.91"/>
    <n v="11.94"/>
    <n v="2.46"/>
    <x v="88"/>
    <x v="1"/>
    <n v="3.86"/>
    <n v="-3.1"/>
    <n v="4"/>
    <n v="11.93"/>
    <s v="Ad Platform Upgrade"/>
    <x v="1"/>
    <n v="920.77"/>
    <n v="287.99"/>
    <s v="Latin America"/>
    <x v="5"/>
  </r>
  <r>
    <x v="7"/>
    <x v="6"/>
    <n v="7.55"/>
    <n v="2.92"/>
    <n v="8.23"/>
    <n v="0.94"/>
    <x v="89"/>
    <x v="1"/>
    <n v="7.46"/>
    <n v="12.91"/>
    <n v="4"/>
    <n v="9.34"/>
    <s v="Ad Platform Upgrade"/>
    <x v="3"/>
    <n v="1409.9"/>
    <n v="314.24"/>
    <s v="North America"/>
    <x v="1"/>
  </r>
  <r>
    <x v="7"/>
    <x v="7"/>
    <n v="14.81"/>
    <n v="2.93"/>
    <n v="5.99"/>
    <n v="1.35"/>
    <x v="90"/>
    <x v="4"/>
    <n v="4.91"/>
    <n v="5.47"/>
    <n v="11"/>
    <n v="5.38"/>
    <s v="Instagram Feature"/>
    <x v="0"/>
    <n v="1795.67"/>
    <n v="282.82"/>
    <s v="Middle East"/>
    <x v="2"/>
  </r>
  <r>
    <x v="7"/>
    <x v="8"/>
    <n v="11.33"/>
    <n v="2.94"/>
    <n v="14.65"/>
    <n v="0.43"/>
    <x v="91"/>
    <x v="1"/>
    <n v="2.57"/>
    <n v="9.64"/>
    <n v="8"/>
    <n v="16.39"/>
    <s v="Meta AI Tools"/>
    <x v="1"/>
    <n v="2569.11"/>
    <n v="299.92"/>
    <s v="Latin America"/>
    <x v="2"/>
  </r>
  <r>
    <x v="7"/>
    <x v="9"/>
    <n v="17.53"/>
    <n v="2.95"/>
    <n v="11.58"/>
    <n v="0.72"/>
    <x v="92"/>
    <x v="1"/>
    <n v="2.42"/>
    <n v="5.81"/>
    <n v="9"/>
    <n v="13.69"/>
    <s v="Instagram Feature"/>
    <x v="1"/>
    <n v="2275.83"/>
    <n v="296.24"/>
    <s v="North America"/>
    <x v="3"/>
  </r>
  <r>
    <x v="7"/>
    <x v="10"/>
    <n v="8.48"/>
    <n v="2.96"/>
    <n v="16.54"/>
    <n v="1.49"/>
    <x v="93"/>
    <x v="2"/>
    <n v="4.8099999999999996"/>
    <n v="1.34"/>
    <n v="14"/>
    <n v="16.86"/>
    <s v="Ad Platform Upgrade"/>
    <x v="0"/>
    <n v="2599.7800000000002"/>
    <n v="301.29000000000002"/>
    <s v="Latin America"/>
    <x v="5"/>
  </r>
  <r>
    <x v="7"/>
    <x v="11"/>
    <n v="6.69"/>
    <n v="2.97"/>
    <n v="10.92"/>
    <n v="1.91"/>
    <x v="94"/>
    <x v="0"/>
    <n v="5.97"/>
    <n v="7.99"/>
    <n v="7"/>
    <n v="11.41"/>
    <s v="Ad Platform Upgrade"/>
    <x v="3"/>
    <n v="1822.02"/>
    <n v="294.18"/>
    <s v="Middle East"/>
    <x v="2"/>
  </r>
  <r>
    <x v="8"/>
    <x v="0"/>
    <n v="5.75"/>
    <n v="3.04"/>
    <n v="2.29"/>
    <n v="2.35"/>
    <x v="95"/>
    <x v="1"/>
    <n v="4.8600000000000003"/>
    <n v="2.2799999999999998"/>
    <n v="7"/>
    <n v="2.17"/>
    <s v="WhatsApp Update"/>
    <x v="5"/>
    <n v="2662.45"/>
    <n v="363.88"/>
    <s v="Asia-Pacific"/>
    <x v="0"/>
  </r>
  <r>
    <x v="8"/>
    <x v="1"/>
    <n v="11.73"/>
    <n v="3.05"/>
    <n v="8.81"/>
    <n v="1.99"/>
    <x v="83"/>
    <x v="0"/>
    <n v="3.8"/>
    <n v="1.3"/>
    <n v="15"/>
    <n v="8"/>
    <s v="Meta AI Tools"/>
    <x v="4"/>
    <n v="1343.7"/>
    <n v="344.53"/>
    <s v="Europe"/>
    <x v="1"/>
  </r>
  <r>
    <x v="8"/>
    <x v="2"/>
    <n v="3.94"/>
    <n v="3.06"/>
    <n v="7.61"/>
    <n v="1.41"/>
    <x v="96"/>
    <x v="3"/>
    <n v="2.5"/>
    <n v="-0.6"/>
    <n v="14"/>
    <n v="6.7"/>
    <s v="WhatsApp Update"/>
    <x v="3"/>
    <n v="1745.68"/>
    <n v="362.78"/>
    <s v="Latin America"/>
    <x v="5"/>
  </r>
  <r>
    <x v="8"/>
    <x v="3"/>
    <n v="4.76"/>
    <n v="3.07"/>
    <n v="14.59"/>
    <n v="7.0000000000000007E-2"/>
    <x v="97"/>
    <x v="4"/>
    <n v="5.03"/>
    <n v="13.15"/>
    <n v="12"/>
    <n v="16.07"/>
    <s v="Meta AI Tools"/>
    <x v="1"/>
    <n v="977.06"/>
    <n v="320.16000000000003"/>
    <s v="Middle East"/>
    <x v="4"/>
  </r>
  <r>
    <x v="8"/>
    <x v="4"/>
    <n v="17.73"/>
    <n v="3.08"/>
    <n v="9.9700000000000006"/>
    <n v="1.64"/>
    <x v="98"/>
    <x v="0"/>
    <n v="3.59"/>
    <n v="3.01"/>
    <n v="6"/>
    <n v="10.79"/>
    <s v="WhatsApp Update"/>
    <x v="0"/>
    <n v="2743.94"/>
    <n v="364.79"/>
    <s v="Middle East"/>
    <x v="0"/>
  </r>
  <r>
    <x v="8"/>
    <x v="5"/>
    <n v="10.19"/>
    <n v="3.09"/>
    <n v="15.51"/>
    <n v="0.32"/>
    <x v="99"/>
    <x v="1"/>
    <n v="6.13"/>
    <n v="-4.18"/>
    <n v="9"/>
    <n v="17.829999999999998"/>
    <s v="Threads Feature"/>
    <x v="5"/>
    <n v="1025.83"/>
    <n v="346.97"/>
    <s v="Asia-Pacific"/>
    <x v="5"/>
  </r>
  <r>
    <x v="8"/>
    <x v="6"/>
    <n v="16.02"/>
    <n v="3.1"/>
    <n v="12.89"/>
    <n v="0.49"/>
    <x v="100"/>
    <x v="1"/>
    <n v="2.0499999999999998"/>
    <n v="2.2799999999999998"/>
    <n v="3"/>
    <n v="15.12"/>
    <s v="VR Headset"/>
    <x v="4"/>
    <n v="1273.22"/>
    <n v="310.58"/>
    <s v="Latin America"/>
    <x v="5"/>
  </r>
  <r>
    <x v="8"/>
    <x v="7"/>
    <n v="4.7"/>
    <n v="3.11"/>
    <n v="3.36"/>
    <n v="2.13"/>
    <x v="100"/>
    <x v="4"/>
    <n v="3.96"/>
    <n v="-2.65"/>
    <n v="4"/>
    <n v="2.61"/>
    <s v="Meta AI Tools"/>
    <x v="0"/>
    <n v="2513.92"/>
    <n v="316.37"/>
    <s v="Middle East"/>
    <x v="3"/>
  </r>
  <r>
    <x v="8"/>
    <x v="8"/>
    <n v="8.7899999999999991"/>
    <n v="3.12"/>
    <n v="2.61"/>
    <n v="1.95"/>
    <x v="101"/>
    <x v="2"/>
    <n v="5.8"/>
    <n v="-0.73"/>
    <n v="8"/>
    <n v="1.88"/>
    <s v="WhatsApp Update"/>
    <x v="4"/>
    <n v="2292.5700000000002"/>
    <n v="310.31"/>
    <s v="North America"/>
    <x v="0"/>
  </r>
  <r>
    <x v="8"/>
    <x v="9"/>
    <n v="16.14"/>
    <n v="3.13"/>
    <n v="3.39"/>
    <n v="0.64"/>
    <x v="102"/>
    <x v="4"/>
    <n v="1.94"/>
    <n v="12.02"/>
    <n v="14"/>
    <n v="5.21"/>
    <s v="Instagram Feature"/>
    <x v="5"/>
    <n v="2849.09"/>
    <n v="312.12"/>
    <s v="Asia-Pacific"/>
    <x v="5"/>
  </r>
  <r>
    <x v="8"/>
    <x v="10"/>
    <n v="10.62"/>
    <n v="3.14"/>
    <n v="10.050000000000001"/>
    <n v="1.1499999999999999"/>
    <x v="103"/>
    <x v="4"/>
    <n v="4.5999999999999996"/>
    <n v="-3.34"/>
    <n v="1"/>
    <n v="10.08"/>
    <s v="Threads Feature"/>
    <x v="5"/>
    <n v="1611.99"/>
    <n v="351.48"/>
    <s v="Middle East"/>
    <x v="2"/>
  </r>
  <r>
    <x v="8"/>
    <x v="11"/>
    <n v="3.85"/>
    <n v="3.15"/>
    <n v="17.350000000000001"/>
    <n v="0.14000000000000001"/>
    <x v="104"/>
    <x v="2"/>
    <n v="4.49"/>
    <n v="15.54"/>
    <n v="7"/>
    <n v="20.07"/>
    <s v="Meta AI Tools"/>
    <x v="0"/>
    <n v="2810.82"/>
    <n v="369.63"/>
    <s v="North America"/>
    <x v="4"/>
  </r>
  <r>
    <x v="9"/>
    <x v="0"/>
    <n v="14.19"/>
    <n v="3.22"/>
    <n v="6.78"/>
    <n v="2.0299999999999998"/>
    <x v="105"/>
    <x v="2"/>
    <n v="2.75"/>
    <n v="5.34"/>
    <n v="1"/>
    <n v="7.62"/>
    <s v="Ad Platform Upgrade"/>
    <x v="5"/>
    <n v="1639.97"/>
    <n v="351.24"/>
    <s v="Latin America"/>
    <x v="5"/>
  </r>
  <r>
    <x v="9"/>
    <x v="1"/>
    <n v="12.42"/>
    <n v="3.23"/>
    <n v="3.2"/>
    <n v="1.5"/>
    <x v="106"/>
    <x v="2"/>
    <n v="2.0699999999999998"/>
    <n v="-1.23"/>
    <n v="13"/>
    <n v="4.07"/>
    <s v="Threads Feature"/>
    <x v="4"/>
    <n v="1933.86"/>
    <n v="346.82"/>
    <s v="Latin America"/>
    <x v="1"/>
  </r>
  <r>
    <x v="9"/>
    <x v="2"/>
    <n v="14.91"/>
    <n v="3.24"/>
    <n v="8.49"/>
    <n v="1.54"/>
    <x v="107"/>
    <x v="4"/>
    <n v="3.25"/>
    <n v="6.81"/>
    <n v="7"/>
    <n v="7.65"/>
    <s v="Ad Platform Upgrade"/>
    <x v="1"/>
    <n v="2571.71"/>
    <n v="342.92"/>
    <s v="Asia-Pacific"/>
    <x v="2"/>
  </r>
  <r>
    <x v="9"/>
    <x v="3"/>
    <n v="14.1"/>
    <n v="3.25"/>
    <n v="14.06"/>
    <n v="1.52"/>
    <x v="108"/>
    <x v="4"/>
    <n v="1.02"/>
    <n v="9.98"/>
    <n v="1"/>
    <n v="13.42"/>
    <s v="Meta AI Tools"/>
    <x v="2"/>
    <n v="258.02999999999997"/>
    <n v="368.85"/>
    <s v="Latin America"/>
    <x v="5"/>
  </r>
  <r>
    <x v="9"/>
    <x v="4"/>
    <n v="11.21"/>
    <n v="3.26"/>
    <n v="9.8699999999999992"/>
    <n v="0.7"/>
    <x v="109"/>
    <x v="0"/>
    <n v="3.99"/>
    <n v="-3.3"/>
    <n v="1"/>
    <n v="10.07"/>
    <s v="VR Headset"/>
    <x v="2"/>
    <n v="2304.85"/>
    <n v="344.71"/>
    <s v="Europe"/>
    <x v="0"/>
  </r>
  <r>
    <x v="9"/>
    <x v="5"/>
    <n v="8.32"/>
    <n v="3.27"/>
    <n v="5.55"/>
    <n v="1.56"/>
    <x v="110"/>
    <x v="0"/>
    <n v="6.63"/>
    <n v="9.34"/>
    <n v="10"/>
    <n v="4.87"/>
    <s v="VR Headset"/>
    <x v="2"/>
    <n v="453.52"/>
    <n v="397.13"/>
    <s v="Latin America"/>
    <x v="3"/>
  </r>
  <r>
    <x v="9"/>
    <x v="6"/>
    <n v="17.47"/>
    <n v="3.28"/>
    <n v="17.239999999999998"/>
    <n v="1.5"/>
    <x v="111"/>
    <x v="3"/>
    <n v="4.22"/>
    <n v="2.21"/>
    <n v="6"/>
    <n v="18.59"/>
    <s v="Meta AI Tools"/>
    <x v="1"/>
    <n v="677.11"/>
    <n v="344.66"/>
    <s v="Asia-Pacific"/>
    <x v="5"/>
  </r>
  <r>
    <x v="9"/>
    <x v="7"/>
    <n v="12.86"/>
    <n v="3.29"/>
    <n v="3.07"/>
    <n v="0.73"/>
    <x v="112"/>
    <x v="2"/>
    <n v="6.59"/>
    <n v="2.2999999999999998"/>
    <n v="8"/>
    <n v="3.64"/>
    <s v="Threads Feature"/>
    <x v="1"/>
    <n v="1155.9000000000001"/>
    <n v="373.53"/>
    <s v="Middle East"/>
    <x v="0"/>
  </r>
  <r>
    <x v="9"/>
    <x v="8"/>
    <n v="5.82"/>
    <n v="3.3"/>
    <n v="17.05"/>
    <n v="1.0900000000000001"/>
    <x v="113"/>
    <x v="3"/>
    <n v="3.95"/>
    <n v="4.51"/>
    <n v="9"/>
    <n v="16.8"/>
    <s v="Instagram Feature"/>
    <x v="3"/>
    <n v="979.94"/>
    <n v="363.07"/>
    <s v="Asia-Pacific"/>
    <x v="1"/>
  </r>
  <r>
    <x v="9"/>
    <x v="9"/>
    <n v="4.1500000000000004"/>
    <n v="3.31"/>
    <n v="13.91"/>
    <n v="2.4900000000000002"/>
    <x v="114"/>
    <x v="0"/>
    <n v="2.57"/>
    <n v="1.31"/>
    <n v="12"/>
    <n v="12.66"/>
    <s v="Threads Feature"/>
    <x v="0"/>
    <n v="2807.25"/>
    <n v="344.78"/>
    <s v="Asia-Pacific"/>
    <x v="0"/>
  </r>
  <r>
    <x v="9"/>
    <x v="10"/>
    <n v="6.21"/>
    <n v="3.32"/>
    <n v="12.23"/>
    <n v="1.96"/>
    <x v="115"/>
    <x v="0"/>
    <n v="7.26"/>
    <n v="-3.29"/>
    <n v="2"/>
    <n v="11.8"/>
    <s v="WhatsApp Update"/>
    <x v="4"/>
    <n v="1500.42"/>
    <n v="357.02"/>
    <s v="Middle East"/>
    <x v="3"/>
  </r>
  <r>
    <x v="9"/>
    <x v="11"/>
    <n v="11.37"/>
    <n v="3.33"/>
    <n v="17.100000000000001"/>
    <n v="1.64"/>
    <x v="116"/>
    <x v="1"/>
    <n v="1.4"/>
    <n v="-1.82"/>
    <n v="9"/>
    <n v="16.5"/>
    <s v="VR Headset"/>
    <x v="5"/>
    <n v="2543.86"/>
    <n v="348.99"/>
    <s v="North America"/>
    <x v="1"/>
  </r>
  <r>
    <x v="10"/>
    <x v="0"/>
    <n v="7.14"/>
    <n v="3.4"/>
    <n v="12.16"/>
    <n v="2.02"/>
    <x v="117"/>
    <x v="4"/>
    <n v="2.66"/>
    <n v="13.04"/>
    <n v="13"/>
    <n v="11.38"/>
    <s v="WhatsApp Update"/>
    <x v="5"/>
    <n v="1132.45"/>
    <n v="417.03"/>
    <s v="Europe"/>
    <x v="2"/>
  </r>
  <r>
    <x v="10"/>
    <x v="1"/>
    <n v="6.15"/>
    <n v="3.41"/>
    <n v="6.28"/>
    <n v="1.06"/>
    <x v="118"/>
    <x v="1"/>
    <n v="3.45"/>
    <n v="11.82"/>
    <n v="12"/>
    <n v="6.38"/>
    <s v="Instagram Feature"/>
    <x v="0"/>
    <n v="771.34"/>
    <n v="423.84"/>
    <s v="North America"/>
    <x v="2"/>
  </r>
  <r>
    <x v="10"/>
    <x v="2"/>
    <n v="3.42"/>
    <n v="3.42"/>
    <n v="4.1900000000000004"/>
    <n v="1.89"/>
    <x v="119"/>
    <x v="2"/>
    <n v="3"/>
    <n v="5.17"/>
    <n v="11"/>
    <n v="4.6100000000000003"/>
    <s v="Threads Feature"/>
    <x v="1"/>
    <n v="2815.35"/>
    <n v="414.93"/>
    <s v="Latin America"/>
    <x v="4"/>
  </r>
  <r>
    <x v="10"/>
    <x v="3"/>
    <n v="11.47"/>
    <n v="3.43"/>
    <n v="17.78"/>
    <n v="0.9"/>
    <x v="120"/>
    <x v="3"/>
    <n v="4.59"/>
    <n v="7.56"/>
    <n v="6"/>
    <n v="18.649999999999999"/>
    <s v="VR Headset"/>
    <x v="2"/>
    <n v="711.34"/>
    <n v="412.53"/>
    <s v="North America"/>
    <x v="5"/>
  </r>
  <r>
    <x v="10"/>
    <x v="4"/>
    <n v="3.91"/>
    <n v="3.44"/>
    <n v="1.76"/>
    <n v="1.4"/>
    <x v="63"/>
    <x v="3"/>
    <n v="4.45"/>
    <n v="10.63"/>
    <n v="2"/>
    <n v="2.81"/>
    <s v="WhatsApp Update"/>
    <x v="2"/>
    <n v="1869.13"/>
    <n v="390.31"/>
    <s v="Asia-Pacific"/>
    <x v="1"/>
  </r>
  <r>
    <x v="10"/>
    <x v="5"/>
    <n v="3.46"/>
    <n v="3.45"/>
    <n v="15.64"/>
    <n v="1.39"/>
    <x v="121"/>
    <x v="2"/>
    <n v="2.5"/>
    <n v="1.4"/>
    <n v="14"/>
    <n v="15.4"/>
    <s v="Instagram Feature"/>
    <x v="3"/>
    <n v="1000.22"/>
    <n v="407.07"/>
    <s v="Latin America"/>
    <x v="5"/>
  </r>
  <r>
    <x v="10"/>
    <x v="6"/>
    <n v="12.19"/>
    <n v="3.46"/>
    <n v="5.39"/>
    <n v="0.78"/>
    <x v="122"/>
    <x v="2"/>
    <n v="2.94"/>
    <n v="5.43"/>
    <n v="2"/>
    <n v="5.32"/>
    <s v="Instagram Feature"/>
    <x v="1"/>
    <n v="1601.78"/>
    <n v="417.63"/>
    <s v="North America"/>
    <x v="3"/>
  </r>
  <r>
    <x v="10"/>
    <x v="7"/>
    <n v="3.06"/>
    <n v="3.47"/>
    <n v="2.72"/>
    <n v="1.68"/>
    <x v="71"/>
    <x v="3"/>
    <n v="5.38"/>
    <n v="4.0999999999999996"/>
    <n v="1"/>
    <n v="3.32"/>
    <s v="Meta AI Tools"/>
    <x v="1"/>
    <n v="229.96"/>
    <n v="396.79"/>
    <s v="Latin America"/>
    <x v="0"/>
  </r>
  <r>
    <x v="10"/>
    <x v="8"/>
    <n v="16.04"/>
    <n v="3.48"/>
    <n v="7.15"/>
    <n v="2.2599999999999998"/>
    <x v="123"/>
    <x v="0"/>
    <n v="4.2300000000000004"/>
    <n v="-2.72"/>
    <n v="8"/>
    <n v="7.54"/>
    <s v="Instagram Feature"/>
    <x v="2"/>
    <n v="2487.29"/>
    <n v="399.77"/>
    <s v="Europe"/>
    <x v="5"/>
  </r>
  <r>
    <x v="10"/>
    <x v="9"/>
    <n v="3.77"/>
    <n v="3.49"/>
    <n v="16.309999999999999"/>
    <n v="0.15"/>
    <x v="124"/>
    <x v="1"/>
    <n v="4.09"/>
    <n v="0.77"/>
    <n v="6"/>
    <n v="16.84"/>
    <s v="Ad Platform Upgrade"/>
    <x v="1"/>
    <n v="2154.2800000000002"/>
    <n v="424.63"/>
    <s v="Latin America"/>
    <x v="1"/>
  </r>
  <r>
    <x v="10"/>
    <x v="10"/>
    <n v="13.5"/>
    <n v="3.5"/>
    <n v="2.74"/>
    <n v="2.0699999999999998"/>
    <x v="125"/>
    <x v="2"/>
    <n v="2.93"/>
    <n v="10.43"/>
    <n v="6"/>
    <n v="1.54"/>
    <s v="Ad Platform Upgrade"/>
    <x v="0"/>
    <n v="1195.43"/>
    <n v="399.77"/>
    <s v="Middle East"/>
    <x v="4"/>
  </r>
  <r>
    <x v="10"/>
    <x v="11"/>
    <n v="6.59"/>
    <n v="3.51"/>
    <n v="14.99"/>
    <n v="1.56"/>
    <x v="126"/>
    <x v="3"/>
    <n v="2.37"/>
    <n v="8.86"/>
    <n v="15"/>
    <n v="15.25"/>
    <s v="Ad Platform Upgrade"/>
    <x v="4"/>
    <n v="2098.2800000000002"/>
    <n v="404.15"/>
    <s v="Middle East"/>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E86B88-D97F-47BC-9E79-037B2A37C69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5" firstHeaderRow="1" firstDataRow="1" firstDataCol="1"/>
  <pivotFields count="18">
    <pivotField axis="axisRow" showAll="0">
      <items count="12">
        <item x="0"/>
        <item x="1"/>
        <item x="2"/>
        <item x="3"/>
        <item x="4"/>
        <item x="5"/>
        <item x="6"/>
        <item x="7"/>
        <item x="8"/>
        <item x="9"/>
        <item x="1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2">
    <i>
      <x/>
    </i>
    <i>
      <x v="1"/>
    </i>
    <i>
      <x v="2"/>
    </i>
    <i>
      <x v="3"/>
    </i>
    <i>
      <x v="4"/>
    </i>
    <i>
      <x v="5"/>
    </i>
    <i>
      <x v="6"/>
    </i>
    <i>
      <x v="7"/>
    </i>
    <i>
      <x v="8"/>
    </i>
    <i>
      <x v="9"/>
    </i>
    <i>
      <x v="10"/>
    </i>
    <i t="grand">
      <x/>
    </i>
  </rowItems>
  <colItems count="1">
    <i/>
  </colItems>
  <dataFields count="1">
    <dataField name="Sum of Revenue Growth (%)" fld="2" baseField="0" baseItem="0"/>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3C9991-37E4-48C3-BA6E-BC09EE0783B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15" firstHeaderRow="0" firstDataRow="1" firstDataCol="1"/>
  <pivotFields count="18">
    <pivotField axis="axisRow" showAll="0">
      <items count="12">
        <item x="0"/>
        <item x="1"/>
        <item x="2"/>
        <item x="3"/>
        <item x="4"/>
        <item x="5"/>
        <item x="6"/>
        <item x="7"/>
        <item x="8"/>
        <item x="9"/>
        <item x="10"/>
        <item t="default"/>
      </items>
    </pivotField>
    <pivotField dataField="1" showAll="0">
      <items count="13">
        <item h="1" x="0"/>
        <item h="1" x="1"/>
        <item h="1" x="2"/>
        <item x="3"/>
        <item h="1" x="4"/>
        <item h="1" x="5"/>
        <item h="1" x="6"/>
        <item h="1" x="7"/>
        <item h="1" x="8"/>
        <item h="1" x="9"/>
        <item h="1" x="10"/>
        <item h="1" x="1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Sum of Stock Price Growth (%)" fld="9" baseField="0" baseItem="0"/>
    <dataField name="Count of Month" fld="1" subtotal="count" baseField="0" baseItem="0"/>
  </dataFields>
  <chartFormats count="4">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15" format="12" series="1">
      <pivotArea type="data" outline="0" fieldPosition="0">
        <references count="1">
          <reference field="4294967294" count="1" selected="0">
            <x v="0"/>
          </reference>
        </references>
      </pivotArea>
    </chartFormat>
    <chartFormat chart="15"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BD3D50-1D4D-44C5-862A-BDD562CFF08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9" firstHeaderRow="1" firstDataRow="1" firstDataCol="1"/>
  <pivotFields count="18">
    <pivotField axis="axisRow" showAll="0">
      <items count="12">
        <item h="1" x="0"/>
        <item h="1" x="1"/>
        <item h="1" x="2"/>
        <item x="3"/>
        <item h="1" x="4"/>
        <item h="1" x="5"/>
        <item h="1" x="6"/>
        <item h="1" x="7"/>
        <item h="1" x="8"/>
        <item h="1" x="9"/>
        <item h="1" x="10"/>
        <item t="default"/>
      </items>
    </pivotField>
    <pivotField axis="axisRow" showAll="0">
      <items count="13">
        <item x="0"/>
        <item x="1"/>
        <item x="2"/>
        <item x="3"/>
        <item x="4"/>
        <item x="5"/>
        <item x="6"/>
        <item x="7"/>
        <item x="8"/>
        <item x="9"/>
        <item x="10"/>
        <item x="1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5"/>
        <item x="2"/>
        <item x="4"/>
        <item x="3"/>
        <item x="1"/>
        <item x="0"/>
        <item t="default"/>
      </items>
    </pivotField>
  </pivotFields>
  <rowFields count="3">
    <field x="0"/>
    <field x="1"/>
    <field x="17"/>
  </rowFields>
  <rowItems count="26">
    <i>
      <x v="3"/>
    </i>
    <i r="1">
      <x/>
    </i>
    <i r="2">
      <x v="1"/>
    </i>
    <i r="1">
      <x v="1"/>
    </i>
    <i r="2">
      <x/>
    </i>
    <i r="1">
      <x v="2"/>
    </i>
    <i r="2">
      <x v="2"/>
    </i>
    <i r="1">
      <x v="3"/>
    </i>
    <i r="2">
      <x v="1"/>
    </i>
    <i r="1">
      <x v="4"/>
    </i>
    <i r="2">
      <x v="3"/>
    </i>
    <i r="1">
      <x v="5"/>
    </i>
    <i r="2">
      <x v="1"/>
    </i>
    <i r="1">
      <x v="6"/>
    </i>
    <i r="2">
      <x v="5"/>
    </i>
    <i r="1">
      <x v="7"/>
    </i>
    <i r="2">
      <x v="2"/>
    </i>
    <i r="1">
      <x v="8"/>
    </i>
    <i r="2">
      <x v="5"/>
    </i>
    <i r="1">
      <x v="9"/>
    </i>
    <i r="2">
      <x v="2"/>
    </i>
    <i r="1">
      <x v="10"/>
    </i>
    <i r="2">
      <x v="4"/>
    </i>
    <i r="1">
      <x v="11"/>
    </i>
    <i r="2">
      <x/>
    </i>
    <i t="grand">
      <x/>
    </i>
  </rowItems>
  <colItems count="1">
    <i/>
  </colItems>
  <dataFields count="1">
    <dataField name="Sum of Monthly Active Users (Billion)"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5D767D-C9BE-485A-ADA8-C988C13E584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15" firstHeaderRow="0" firstDataRow="1" firstDataCol="1"/>
  <pivotFields count="18">
    <pivotField axis="axisRow" showAll="0">
      <items count="12">
        <item x="0"/>
        <item x="1"/>
        <item x="2"/>
        <item x="3"/>
        <item x="4"/>
        <item x="5"/>
        <item x="6"/>
        <item x="7"/>
        <item x="8"/>
        <item x="9"/>
        <item x="10"/>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Sum of Profit (Billion USD)" fld="4" baseField="0" baseItem="0"/>
    <dataField name="Sum of Loss (Billion USD)" fld="5" baseField="0" baseItem="0"/>
  </dataFields>
  <chartFormats count="18">
    <chartFormat chart="14" format="36" series="1">
      <pivotArea type="data" outline="0" fieldPosition="0">
        <references count="1">
          <reference field="4294967294" count="1" selected="0">
            <x v="0"/>
          </reference>
        </references>
      </pivotArea>
    </chartFormat>
    <chartFormat chart="14" format="37">
      <pivotArea type="data" outline="0" fieldPosition="0">
        <references count="2">
          <reference field="4294967294" count="1" selected="0">
            <x v="0"/>
          </reference>
          <reference field="0" count="1" selected="0">
            <x v="2"/>
          </reference>
        </references>
      </pivotArea>
    </chartFormat>
    <chartFormat chart="14" format="38">
      <pivotArea type="data" outline="0" fieldPosition="0">
        <references count="2">
          <reference field="4294967294" count="1" selected="0">
            <x v="0"/>
          </reference>
          <reference field="0" count="1" selected="0">
            <x v="3"/>
          </reference>
        </references>
      </pivotArea>
    </chartFormat>
    <chartFormat chart="14" format="39">
      <pivotArea type="data" outline="0" fieldPosition="0">
        <references count="2">
          <reference field="4294967294" count="1" selected="0">
            <x v="0"/>
          </reference>
          <reference field="0" count="1" selected="0">
            <x v="4"/>
          </reference>
        </references>
      </pivotArea>
    </chartFormat>
    <chartFormat chart="14" format="40">
      <pivotArea type="data" outline="0" fieldPosition="0">
        <references count="2">
          <reference field="4294967294" count="1" selected="0">
            <x v="0"/>
          </reference>
          <reference field="0" count="1" selected="0">
            <x v="9"/>
          </reference>
        </references>
      </pivotArea>
    </chartFormat>
    <chartFormat chart="14" format="41">
      <pivotArea type="data" outline="0" fieldPosition="0">
        <references count="2">
          <reference field="4294967294" count="1" selected="0">
            <x v="0"/>
          </reference>
          <reference field="0" count="1" selected="0">
            <x v="10"/>
          </reference>
        </references>
      </pivotArea>
    </chartFormat>
    <chartFormat chart="14" format="42" series="1">
      <pivotArea type="data" outline="0" fieldPosition="0">
        <references count="1">
          <reference field="4294967294" count="1" selected="0">
            <x v="1"/>
          </reference>
        </references>
      </pivotArea>
    </chartFormat>
    <chartFormat chart="14" format="43">
      <pivotArea type="data" outline="0" fieldPosition="0">
        <references count="2">
          <reference field="4294967294" count="1" selected="0">
            <x v="1"/>
          </reference>
          <reference field="0" count="1" selected="0">
            <x v="0"/>
          </reference>
        </references>
      </pivotArea>
    </chartFormat>
    <chartFormat chart="14" format="44">
      <pivotArea type="data" outline="0" fieldPosition="0">
        <references count="2">
          <reference field="4294967294" count="1" selected="0">
            <x v="1"/>
          </reference>
          <reference field="0" count="1" selected="0">
            <x v="1"/>
          </reference>
        </references>
      </pivotArea>
    </chartFormat>
    <chartFormat chart="14" format="45">
      <pivotArea type="data" outline="0" fieldPosition="0">
        <references count="2">
          <reference field="4294967294" count="1" selected="0">
            <x v="1"/>
          </reference>
          <reference field="0" count="1" selected="0">
            <x v="2"/>
          </reference>
        </references>
      </pivotArea>
    </chartFormat>
    <chartFormat chart="14" format="46">
      <pivotArea type="data" outline="0" fieldPosition="0">
        <references count="2">
          <reference field="4294967294" count="1" selected="0">
            <x v="1"/>
          </reference>
          <reference field="0" count="1" selected="0">
            <x v="3"/>
          </reference>
        </references>
      </pivotArea>
    </chartFormat>
    <chartFormat chart="14" format="47">
      <pivotArea type="data" outline="0" fieldPosition="0">
        <references count="2">
          <reference field="4294967294" count="1" selected="0">
            <x v="1"/>
          </reference>
          <reference field="0" count="1" selected="0">
            <x v="4"/>
          </reference>
        </references>
      </pivotArea>
    </chartFormat>
    <chartFormat chart="14" format="48">
      <pivotArea type="data" outline="0" fieldPosition="0">
        <references count="2">
          <reference field="4294967294" count="1" selected="0">
            <x v="1"/>
          </reference>
          <reference field="0" count="1" selected="0">
            <x v="5"/>
          </reference>
        </references>
      </pivotArea>
    </chartFormat>
    <chartFormat chart="14" format="49">
      <pivotArea type="data" outline="0" fieldPosition="0">
        <references count="2">
          <reference field="4294967294" count="1" selected="0">
            <x v="1"/>
          </reference>
          <reference field="0" count="1" selected="0">
            <x v="6"/>
          </reference>
        </references>
      </pivotArea>
    </chartFormat>
    <chartFormat chart="14" format="50">
      <pivotArea type="data" outline="0" fieldPosition="0">
        <references count="2">
          <reference field="4294967294" count="1" selected="0">
            <x v="1"/>
          </reference>
          <reference field="0" count="1" selected="0">
            <x v="7"/>
          </reference>
        </references>
      </pivotArea>
    </chartFormat>
    <chartFormat chart="14" format="51">
      <pivotArea type="data" outline="0" fieldPosition="0">
        <references count="2">
          <reference field="4294967294" count="1" selected="0">
            <x v="1"/>
          </reference>
          <reference field="0" count="1" selected="0">
            <x v="8"/>
          </reference>
        </references>
      </pivotArea>
    </chartFormat>
    <chartFormat chart="14" format="52">
      <pivotArea type="data" outline="0" fieldPosition="0">
        <references count="2">
          <reference field="4294967294" count="1" selected="0">
            <x v="1"/>
          </reference>
          <reference field="0" count="1" selected="0">
            <x v="9"/>
          </reference>
        </references>
      </pivotArea>
    </chartFormat>
    <chartFormat chart="14" format="53">
      <pivotArea type="data" outline="0" fieldPosition="0">
        <references count="2">
          <reference field="4294967294" count="1" selected="0">
            <x v="1"/>
          </reference>
          <reference field="0"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9AFEFA-CFAF-47EC-B4A0-3ED3A53C496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18">
    <pivotField axis="axisRow" showAll="0">
      <items count="12">
        <item h="1" x="0"/>
        <item h="1" x="1"/>
        <item h="1" x="2"/>
        <item h="1" x="3"/>
        <item h="1" x="4"/>
        <item h="1" x="5"/>
        <item h="1" x="6"/>
        <item h="1" x="7"/>
        <item h="1" x="8"/>
        <item h="1" x="9"/>
        <item x="1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7">
        <item x="1"/>
        <item x="3"/>
        <item x="4"/>
        <item x="5"/>
        <item x="0"/>
        <item x="2"/>
        <item t="default"/>
      </items>
    </pivotField>
    <pivotField showAll="0"/>
    <pivotField showAll="0"/>
    <pivotField showAll="0"/>
    <pivotField showAll="0"/>
  </pivotFields>
  <rowFields count="2">
    <field x="0"/>
    <field x="13"/>
  </rowFields>
  <rowItems count="8">
    <i>
      <x v="10"/>
    </i>
    <i r="1">
      <x/>
    </i>
    <i r="1">
      <x v="1"/>
    </i>
    <i r="1">
      <x v="2"/>
    </i>
    <i r="1">
      <x v="3"/>
    </i>
    <i r="1">
      <x v="4"/>
    </i>
    <i r="1">
      <x v="5"/>
    </i>
    <i t="grand">
      <x/>
    </i>
  </rowItems>
  <colItems count="1">
    <i/>
  </colItems>
  <dataFields count="1">
    <dataField name="Sum of User Growth (%)" fld="8" baseField="0" baseItem="0"/>
  </dataFields>
  <chartFormats count="7">
    <chartFormat chart="5" format="8" series="1">
      <pivotArea type="data" outline="0" fieldPosition="0">
        <references count="1">
          <reference field="4294967294" count="1" selected="0">
            <x v="0"/>
          </reference>
        </references>
      </pivotArea>
    </chartFormat>
    <chartFormat chart="5" format="9">
      <pivotArea type="data" outline="0" fieldPosition="0">
        <references count="3">
          <reference field="4294967294" count="1" selected="0">
            <x v="0"/>
          </reference>
          <reference field="0" count="1" selected="0">
            <x v="10"/>
          </reference>
          <reference field="13" count="1" selected="0">
            <x v="0"/>
          </reference>
        </references>
      </pivotArea>
    </chartFormat>
    <chartFormat chart="5" format="10">
      <pivotArea type="data" outline="0" fieldPosition="0">
        <references count="3">
          <reference field="4294967294" count="1" selected="0">
            <x v="0"/>
          </reference>
          <reference field="0" count="1" selected="0">
            <x v="10"/>
          </reference>
          <reference field="13" count="1" selected="0">
            <x v="1"/>
          </reference>
        </references>
      </pivotArea>
    </chartFormat>
    <chartFormat chart="5" format="11">
      <pivotArea type="data" outline="0" fieldPosition="0">
        <references count="3">
          <reference field="4294967294" count="1" selected="0">
            <x v="0"/>
          </reference>
          <reference field="0" count="1" selected="0">
            <x v="10"/>
          </reference>
          <reference field="13" count="1" selected="0">
            <x v="2"/>
          </reference>
        </references>
      </pivotArea>
    </chartFormat>
    <chartFormat chart="5" format="12">
      <pivotArea type="data" outline="0" fieldPosition="0">
        <references count="3">
          <reference field="4294967294" count="1" selected="0">
            <x v="0"/>
          </reference>
          <reference field="0" count="1" selected="0">
            <x v="10"/>
          </reference>
          <reference field="13" count="1" selected="0">
            <x v="3"/>
          </reference>
        </references>
      </pivotArea>
    </chartFormat>
    <chartFormat chart="5" format="13">
      <pivotArea type="data" outline="0" fieldPosition="0">
        <references count="3">
          <reference field="4294967294" count="1" selected="0">
            <x v="0"/>
          </reference>
          <reference field="0" count="1" selected="0">
            <x v="10"/>
          </reference>
          <reference field="13" count="1" selected="0">
            <x v="4"/>
          </reference>
        </references>
      </pivotArea>
    </chartFormat>
    <chartFormat chart="5" format="14">
      <pivotArea type="data" outline="0" fieldPosition="0">
        <references count="3">
          <reference field="4294967294" count="1" selected="0">
            <x v="0"/>
          </reference>
          <reference field="0" count="1" selected="0">
            <x v="1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ABE6DF-21A9-4A1B-90AF-3BE6DE81158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28" firstHeaderRow="1" firstDataRow="1" firstDataCol="1" rowPageCount="1" colPageCount="1"/>
  <pivotFields count="18">
    <pivotField axis="axisPage" multipleItemSelectionAllowed="1" showAll="0">
      <items count="12">
        <item h="1" x="0"/>
        <item h="1" x="1"/>
        <item h="1" x="2"/>
        <item h="1" x="3"/>
        <item h="1" x="4"/>
        <item h="1" x="5"/>
        <item h="1" x="6"/>
        <item h="1" x="7"/>
        <item h="1" x="8"/>
        <item h="1"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axis="axisRow" showAll="0">
      <items count="128">
        <item x="72"/>
        <item x="19"/>
        <item x="34"/>
        <item x="57"/>
        <item x="97"/>
        <item x="123"/>
        <item x="43"/>
        <item x="60"/>
        <item x="109"/>
        <item x="36"/>
        <item x="22"/>
        <item x="115"/>
        <item x="15"/>
        <item x="110"/>
        <item x="117"/>
        <item x="103"/>
        <item x="5"/>
        <item x="87"/>
        <item x="114"/>
        <item x="30"/>
        <item x="33"/>
        <item x="9"/>
        <item x="96"/>
        <item x="67"/>
        <item x="78"/>
        <item x="66"/>
        <item x="41"/>
        <item x="14"/>
        <item x="45"/>
        <item x="2"/>
        <item x="118"/>
        <item x="79"/>
        <item x="23"/>
        <item x="31"/>
        <item x="0"/>
        <item x="58"/>
        <item x="52"/>
        <item x="49"/>
        <item x="99"/>
        <item x="7"/>
        <item x="93"/>
        <item x="10"/>
        <item x="48"/>
        <item x="4"/>
        <item x="125"/>
        <item x="51"/>
        <item x="82"/>
        <item x="98"/>
        <item x="40"/>
        <item x="116"/>
        <item x="77"/>
        <item x="69"/>
        <item x="11"/>
        <item x="42"/>
        <item x="81"/>
        <item x="50"/>
        <item x="89"/>
        <item x="53"/>
        <item x="104"/>
        <item x="94"/>
        <item x="35"/>
        <item x="111"/>
        <item x="25"/>
        <item x="29"/>
        <item x="59"/>
        <item x="119"/>
        <item x="21"/>
        <item x="74"/>
        <item x="95"/>
        <item x="124"/>
        <item x="112"/>
        <item x="121"/>
        <item x="61"/>
        <item x="86"/>
        <item x="46"/>
        <item x="18"/>
        <item x="91"/>
        <item x="76"/>
        <item x="32"/>
        <item x="105"/>
        <item x="20"/>
        <item x="83"/>
        <item x="106"/>
        <item x="13"/>
        <item x="63"/>
        <item x="8"/>
        <item x="38"/>
        <item x="71"/>
        <item x="101"/>
        <item x="84"/>
        <item x="75"/>
        <item x="126"/>
        <item x="122"/>
        <item x="107"/>
        <item x="24"/>
        <item x="55"/>
        <item x="113"/>
        <item x="56"/>
        <item x="17"/>
        <item x="47"/>
        <item x="1"/>
        <item x="27"/>
        <item x="90"/>
        <item x="68"/>
        <item x="73"/>
        <item x="16"/>
        <item x="64"/>
        <item x="3"/>
        <item x="26"/>
        <item x="37"/>
        <item x="70"/>
        <item x="65"/>
        <item x="108"/>
        <item x="54"/>
        <item x="44"/>
        <item x="85"/>
        <item x="100"/>
        <item x="39"/>
        <item x="120"/>
        <item x="88"/>
        <item x="28"/>
        <item x="62"/>
        <item x="12"/>
        <item x="92"/>
        <item x="102"/>
        <item x="8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2">
    <field x="6"/>
    <field x="1"/>
  </rowFields>
  <rowItems count="25">
    <i>
      <x v="5"/>
    </i>
    <i r="1">
      <x v="8"/>
    </i>
    <i>
      <x v="14"/>
    </i>
    <i r="1">
      <x/>
    </i>
    <i>
      <x v="30"/>
    </i>
    <i r="1">
      <x v="1"/>
    </i>
    <i>
      <x v="44"/>
    </i>
    <i r="1">
      <x v="10"/>
    </i>
    <i>
      <x v="65"/>
    </i>
    <i r="1">
      <x v="2"/>
    </i>
    <i>
      <x v="69"/>
    </i>
    <i r="1">
      <x v="9"/>
    </i>
    <i>
      <x v="71"/>
    </i>
    <i r="1">
      <x v="5"/>
    </i>
    <i>
      <x v="84"/>
    </i>
    <i r="1">
      <x v="4"/>
    </i>
    <i>
      <x v="87"/>
    </i>
    <i r="1">
      <x v="7"/>
    </i>
    <i>
      <x v="91"/>
    </i>
    <i r="1">
      <x v="11"/>
    </i>
    <i>
      <x v="92"/>
    </i>
    <i r="1">
      <x v="6"/>
    </i>
    <i>
      <x v="118"/>
    </i>
    <i r="1">
      <x v="3"/>
    </i>
    <i t="grand">
      <x/>
    </i>
  </rowItems>
  <colItems count="1">
    <i/>
  </colItems>
  <pageFields count="1">
    <pageField fld="0" hier="-1"/>
  </pageFields>
  <dataFields count="1">
    <dataField name="Sum of Monthly Active Sales (Million USD)" fld="14"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D2ACCE-9212-4891-A52C-D84D55C6E2A0}"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B15" firstHeaderRow="1" firstDataRow="1" firstDataCol="1" rowPageCount="1" colPageCount="1"/>
  <pivotFields count="18">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axis="axisPage" multipleItemSelectionAllowed="1" showAll="0">
      <items count="6">
        <item h="1" x="2"/>
        <item h="1" x="3"/>
        <item h="1" x="4"/>
        <item x="1"/>
        <item h="1" x="0"/>
        <item t="default"/>
      </items>
    </pivotField>
    <pivotField showAll="0"/>
    <pivotField showAll="0"/>
    <pivotField showAll="0"/>
    <pivotField dataField="1" showAll="0"/>
    <pivotField showAll="0"/>
    <pivotField showAll="0"/>
    <pivotField showAll="0"/>
    <pivotField showAll="0"/>
    <pivotField showAll="0"/>
    <pivotField showAll="0"/>
  </pivotFields>
  <rowFields count="1">
    <field x="0"/>
  </rowFields>
  <rowItems count="11">
    <i>
      <x/>
    </i>
    <i>
      <x v="1"/>
    </i>
    <i>
      <x v="3"/>
    </i>
    <i>
      <x v="4"/>
    </i>
    <i>
      <x v="5"/>
    </i>
    <i>
      <x v="6"/>
    </i>
    <i>
      <x v="7"/>
    </i>
    <i>
      <x v="8"/>
    </i>
    <i>
      <x v="9"/>
    </i>
    <i>
      <x v="10"/>
    </i>
    <i t="grand">
      <x/>
    </i>
  </rowItems>
  <colItems count="1">
    <i/>
  </colItems>
  <pageFields count="1">
    <pageField fld="7" hier="-1"/>
  </pageFields>
  <dataFields count="1">
    <dataField name="Sum of Total Net Income (Billion USD)" fld="11" baseField="0" baseItem="0"/>
  </dataFields>
  <chartFormats count="1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6"/>
          </reference>
        </references>
      </pivotArea>
    </chartFormat>
    <chartFormat chart="2" format="4">
      <pivotArea type="data" outline="0" fieldPosition="0">
        <references count="2">
          <reference field="4294967294" count="1" selected="0">
            <x v="0"/>
          </reference>
          <reference field="0" count="1" selected="0">
            <x v="7"/>
          </reference>
        </references>
      </pivotArea>
    </chartFormat>
    <chartFormat chart="2" format="5">
      <pivotArea type="data" outline="0" fieldPosition="0">
        <references count="2">
          <reference field="4294967294" count="1" selected="0">
            <x v="0"/>
          </reference>
          <reference field="0" count="1" selected="0">
            <x v="8"/>
          </reference>
        </references>
      </pivotArea>
    </chartFormat>
    <chartFormat chart="2" format="6">
      <pivotArea type="data" outline="0" fieldPosition="0">
        <references count="2">
          <reference field="4294967294" count="1" selected="0">
            <x v="0"/>
          </reference>
          <reference field="0" count="1" selected="0">
            <x v="9"/>
          </reference>
        </references>
      </pivotArea>
    </chartFormat>
    <chartFormat chart="2" format="7">
      <pivotArea type="data" outline="0" fieldPosition="0">
        <references count="2">
          <reference field="4294967294" count="1" selected="0">
            <x v="0"/>
          </reference>
          <reference field="0" count="1" selected="0">
            <x v="10"/>
          </reference>
        </references>
      </pivotArea>
    </chartFormat>
    <chartFormat chart="2" format="8">
      <pivotArea type="data" outline="0" fieldPosition="0">
        <references count="2">
          <reference field="4294967294" count="1" selected="0">
            <x v="0"/>
          </reference>
          <reference field="0" count="1" selected="0">
            <x v="5"/>
          </reference>
        </references>
      </pivotArea>
    </chartFormat>
    <chartFormat chart="2" format="9">
      <pivotArea type="data" outline="0" fieldPosition="0">
        <references count="2">
          <reference field="4294967294" count="1" selected="0">
            <x v="0"/>
          </reference>
          <reference field="0" count="1" selected="0">
            <x v="4"/>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 chart="2" format="12">
      <pivotArea type="data" outline="0" fieldPosition="0">
        <references count="2">
          <reference field="4294967294" count="1" selected="0">
            <x v="0"/>
          </reference>
          <reference field="0" count="1" selected="0">
            <x v="1"/>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D698EE-75E1-4C54-BA49-733B9FDAA357}"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5" firstHeaderRow="1" firstDataRow="1" firstDataCol="1"/>
  <pivotFields count="18">
    <pivotField axis="axisRow" showAll="0">
      <items count="12">
        <item x="0"/>
        <item x="1"/>
        <item x="2"/>
        <item x="3"/>
        <item x="4"/>
        <item x="5"/>
        <item x="6"/>
        <item x="7"/>
        <item x="8"/>
        <item x="9"/>
        <item x="1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2">
    <i>
      <x/>
    </i>
    <i>
      <x v="1"/>
    </i>
    <i>
      <x v="2"/>
    </i>
    <i>
      <x v="3"/>
    </i>
    <i>
      <x v="4"/>
    </i>
    <i>
      <x v="5"/>
    </i>
    <i>
      <x v="6"/>
    </i>
    <i>
      <x v="7"/>
    </i>
    <i>
      <x v="8"/>
    </i>
    <i>
      <x v="9"/>
    </i>
    <i>
      <x v="10"/>
    </i>
    <i t="grand">
      <x/>
    </i>
  </rowItems>
  <colItems count="1">
    <i/>
  </colItems>
  <dataFields count="1">
    <dataField name="Sum of Revenue Growth (%)" fld="2" baseField="0" baseItem="0"/>
  </dataFields>
  <chartFormats count="12">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0" count="1" selected="0">
            <x v="0"/>
          </reference>
        </references>
      </pivotArea>
    </chartFormat>
    <chartFormat chart="4" format="15">
      <pivotArea type="data" outline="0" fieldPosition="0">
        <references count="2">
          <reference field="4294967294" count="1" selected="0">
            <x v="0"/>
          </reference>
          <reference field="0" count="1" selected="0">
            <x v="1"/>
          </reference>
        </references>
      </pivotArea>
    </chartFormat>
    <chartFormat chart="4" format="16">
      <pivotArea type="data" outline="0" fieldPosition="0">
        <references count="2">
          <reference field="4294967294" count="1" selected="0">
            <x v="0"/>
          </reference>
          <reference field="0" count="1" selected="0">
            <x v="2"/>
          </reference>
        </references>
      </pivotArea>
    </chartFormat>
    <chartFormat chart="4" format="17">
      <pivotArea type="data" outline="0" fieldPosition="0">
        <references count="2">
          <reference field="4294967294" count="1" selected="0">
            <x v="0"/>
          </reference>
          <reference field="0" count="1" selected="0">
            <x v="3"/>
          </reference>
        </references>
      </pivotArea>
    </chartFormat>
    <chartFormat chart="4" format="18">
      <pivotArea type="data" outline="0" fieldPosition="0">
        <references count="2">
          <reference field="4294967294" count="1" selected="0">
            <x v="0"/>
          </reference>
          <reference field="0" count="1" selected="0">
            <x v="4"/>
          </reference>
        </references>
      </pivotArea>
    </chartFormat>
    <chartFormat chart="4" format="19">
      <pivotArea type="data" outline="0" fieldPosition="0">
        <references count="2">
          <reference field="4294967294" count="1" selected="0">
            <x v="0"/>
          </reference>
          <reference field="0" count="1" selected="0">
            <x v="5"/>
          </reference>
        </references>
      </pivotArea>
    </chartFormat>
    <chartFormat chart="4" format="20">
      <pivotArea type="data" outline="0" fieldPosition="0">
        <references count="2">
          <reference field="4294967294" count="1" selected="0">
            <x v="0"/>
          </reference>
          <reference field="0" count="1" selected="0">
            <x v="6"/>
          </reference>
        </references>
      </pivotArea>
    </chartFormat>
    <chartFormat chart="4" format="21">
      <pivotArea type="data" outline="0" fieldPosition="0">
        <references count="2">
          <reference field="4294967294" count="1" selected="0">
            <x v="0"/>
          </reference>
          <reference field="0" count="1" selected="0">
            <x v="7"/>
          </reference>
        </references>
      </pivotArea>
    </chartFormat>
    <chartFormat chart="4" format="22">
      <pivotArea type="data" outline="0" fieldPosition="0">
        <references count="2">
          <reference field="4294967294" count="1" selected="0">
            <x v="0"/>
          </reference>
          <reference field="0" count="1" selected="0">
            <x v="8"/>
          </reference>
        </references>
      </pivotArea>
    </chartFormat>
    <chartFormat chart="4" format="23">
      <pivotArea type="data" outline="0" fieldPosition="0">
        <references count="2">
          <reference field="4294967294" count="1" selected="0">
            <x v="0"/>
          </reference>
          <reference field="0" count="1" selected="0">
            <x v="9"/>
          </reference>
        </references>
      </pivotArea>
    </chartFormat>
    <chartFormat chart="4" format="24">
      <pivotArea type="data" outline="0" fieldPosition="0">
        <references count="2">
          <reference field="4294967294" count="1" selected="0">
            <x v="0"/>
          </reference>
          <reference field="0"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90DC29-5811-41EB-BF79-61E23C4CED0C}"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5" firstHeaderRow="1" firstDataRow="1" firstDataCol="1"/>
  <pivotFields count="18">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0"/>
  </rowFields>
  <rowItems count="12">
    <i>
      <x/>
    </i>
    <i>
      <x v="1"/>
    </i>
    <i>
      <x v="2"/>
    </i>
    <i>
      <x v="3"/>
    </i>
    <i>
      <x v="4"/>
    </i>
    <i>
      <x v="5"/>
    </i>
    <i>
      <x v="6"/>
    </i>
    <i>
      <x v="7"/>
    </i>
    <i>
      <x v="8"/>
    </i>
    <i>
      <x v="9"/>
    </i>
    <i>
      <x v="10"/>
    </i>
    <i t="grand">
      <x/>
    </i>
  </rowItems>
  <colItems count="1">
    <i/>
  </colItems>
  <dataFields count="1">
    <dataField name="Sum of Total Net Income (Billion USD)" fld="11" baseField="0" baseItem="0"/>
  </dataFields>
  <chartFormats count="12">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0" count="1" selected="0">
            <x v="0"/>
          </reference>
        </references>
      </pivotArea>
    </chartFormat>
    <chartFormat chart="4" format="15">
      <pivotArea type="data" outline="0" fieldPosition="0">
        <references count="2">
          <reference field="4294967294" count="1" selected="0">
            <x v="0"/>
          </reference>
          <reference field="0" count="1" selected="0">
            <x v="1"/>
          </reference>
        </references>
      </pivotArea>
    </chartFormat>
    <chartFormat chart="4" format="16">
      <pivotArea type="data" outline="0" fieldPosition="0">
        <references count="2">
          <reference field="4294967294" count="1" selected="0">
            <x v="0"/>
          </reference>
          <reference field="0" count="1" selected="0">
            <x v="2"/>
          </reference>
        </references>
      </pivotArea>
    </chartFormat>
    <chartFormat chart="4" format="17">
      <pivotArea type="data" outline="0" fieldPosition="0">
        <references count="2">
          <reference field="4294967294" count="1" selected="0">
            <x v="0"/>
          </reference>
          <reference field="0" count="1" selected="0">
            <x v="3"/>
          </reference>
        </references>
      </pivotArea>
    </chartFormat>
    <chartFormat chart="4" format="18">
      <pivotArea type="data" outline="0" fieldPosition="0">
        <references count="2">
          <reference field="4294967294" count="1" selected="0">
            <x v="0"/>
          </reference>
          <reference field="0" count="1" selected="0">
            <x v="4"/>
          </reference>
        </references>
      </pivotArea>
    </chartFormat>
    <chartFormat chart="4" format="19">
      <pivotArea type="data" outline="0" fieldPosition="0">
        <references count="2">
          <reference field="4294967294" count="1" selected="0">
            <x v="0"/>
          </reference>
          <reference field="0" count="1" selected="0">
            <x v="5"/>
          </reference>
        </references>
      </pivotArea>
    </chartFormat>
    <chartFormat chart="4" format="20">
      <pivotArea type="data" outline="0" fieldPosition="0">
        <references count="2">
          <reference field="4294967294" count="1" selected="0">
            <x v="0"/>
          </reference>
          <reference field="0" count="1" selected="0">
            <x v="6"/>
          </reference>
        </references>
      </pivotArea>
    </chartFormat>
    <chartFormat chart="4" format="21">
      <pivotArea type="data" outline="0" fieldPosition="0">
        <references count="2">
          <reference field="4294967294" count="1" selected="0">
            <x v="0"/>
          </reference>
          <reference field="0" count="1" selected="0">
            <x v="7"/>
          </reference>
        </references>
      </pivotArea>
    </chartFormat>
    <chartFormat chart="4" format="22">
      <pivotArea type="data" outline="0" fieldPosition="0">
        <references count="2">
          <reference field="4294967294" count="1" selected="0">
            <x v="0"/>
          </reference>
          <reference field="0" count="1" selected="0">
            <x v="8"/>
          </reference>
        </references>
      </pivotArea>
    </chartFormat>
    <chartFormat chart="4" format="23">
      <pivotArea type="data" outline="0" fieldPosition="0">
        <references count="2">
          <reference field="4294967294" count="1" selected="0">
            <x v="0"/>
          </reference>
          <reference field="0" count="1" selected="0">
            <x v="9"/>
          </reference>
        </references>
      </pivotArea>
    </chartFormat>
    <chartFormat chart="4" format="24">
      <pivotArea type="data" outline="0" fieldPosition="0">
        <references count="2">
          <reference field="4294967294" count="1" selected="0">
            <x v="0"/>
          </reference>
          <reference field="0"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CB6530-1BFE-4236-9E82-8BD3A1A49FA0}"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5" firstHeaderRow="1" firstDataRow="1" firstDataCol="1"/>
  <pivotFields count="18">
    <pivotField axis="axisRow" showAll="0">
      <items count="12">
        <item x="0"/>
        <item x="1"/>
        <item x="2"/>
        <item x="3"/>
        <item x="4"/>
        <item x="5"/>
        <item x="6"/>
        <item x="7"/>
        <item x="8"/>
        <item x="9"/>
        <item x="1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2">
    <i>
      <x/>
    </i>
    <i>
      <x v="1"/>
    </i>
    <i>
      <x v="2"/>
    </i>
    <i>
      <x v="3"/>
    </i>
    <i>
      <x v="4"/>
    </i>
    <i>
      <x v="5"/>
    </i>
    <i>
      <x v="6"/>
    </i>
    <i>
      <x v="7"/>
    </i>
    <i>
      <x v="8"/>
    </i>
    <i>
      <x v="9"/>
    </i>
    <i>
      <x v="10"/>
    </i>
    <i t="grand">
      <x/>
    </i>
  </rowItems>
  <colItems count="1">
    <i/>
  </colItems>
  <dataFields count="1">
    <dataField name="Sum of Profit (Billion USD)" fld="4" baseField="0" baseItem="0"/>
  </dataFields>
  <chartFormats count="12">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0" count="1" selected="0">
            <x v="0"/>
          </reference>
        </references>
      </pivotArea>
    </chartFormat>
    <chartFormat chart="4" format="15">
      <pivotArea type="data" outline="0" fieldPosition="0">
        <references count="2">
          <reference field="4294967294" count="1" selected="0">
            <x v="0"/>
          </reference>
          <reference field="0" count="1" selected="0">
            <x v="1"/>
          </reference>
        </references>
      </pivotArea>
    </chartFormat>
    <chartFormat chart="4" format="16">
      <pivotArea type="data" outline="0" fieldPosition="0">
        <references count="2">
          <reference field="4294967294" count="1" selected="0">
            <x v="0"/>
          </reference>
          <reference field="0" count="1" selected="0">
            <x v="2"/>
          </reference>
        </references>
      </pivotArea>
    </chartFormat>
    <chartFormat chart="4" format="17">
      <pivotArea type="data" outline="0" fieldPosition="0">
        <references count="2">
          <reference field="4294967294" count="1" selected="0">
            <x v="0"/>
          </reference>
          <reference field="0" count="1" selected="0">
            <x v="3"/>
          </reference>
        </references>
      </pivotArea>
    </chartFormat>
    <chartFormat chart="4" format="18">
      <pivotArea type="data" outline="0" fieldPosition="0">
        <references count="2">
          <reference field="4294967294" count="1" selected="0">
            <x v="0"/>
          </reference>
          <reference field="0" count="1" selected="0">
            <x v="4"/>
          </reference>
        </references>
      </pivotArea>
    </chartFormat>
    <chartFormat chart="4" format="19">
      <pivotArea type="data" outline="0" fieldPosition="0">
        <references count="2">
          <reference field="4294967294" count="1" selected="0">
            <x v="0"/>
          </reference>
          <reference field="0" count="1" selected="0">
            <x v="5"/>
          </reference>
        </references>
      </pivotArea>
    </chartFormat>
    <chartFormat chart="4" format="20">
      <pivotArea type="data" outline="0" fieldPosition="0">
        <references count="2">
          <reference field="4294967294" count="1" selected="0">
            <x v="0"/>
          </reference>
          <reference field="0" count="1" selected="0">
            <x v="6"/>
          </reference>
        </references>
      </pivotArea>
    </chartFormat>
    <chartFormat chart="4" format="21">
      <pivotArea type="data" outline="0" fieldPosition="0">
        <references count="2">
          <reference field="4294967294" count="1" selected="0">
            <x v="0"/>
          </reference>
          <reference field="0" count="1" selected="0">
            <x v="7"/>
          </reference>
        </references>
      </pivotArea>
    </chartFormat>
    <chartFormat chart="4" format="22">
      <pivotArea type="data" outline="0" fieldPosition="0">
        <references count="2">
          <reference field="4294967294" count="1" selected="0">
            <x v="0"/>
          </reference>
          <reference field="0" count="1" selected="0">
            <x v="8"/>
          </reference>
        </references>
      </pivotArea>
    </chartFormat>
    <chartFormat chart="4" format="23">
      <pivotArea type="data" outline="0" fieldPosition="0">
        <references count="2">
          <reference field="4294967294" count="1" selected="0">
            <x v="0"/>
          </reference>
          <reference field="0" count="1" selected="0">
            <x v="9"/>
          </reference>
        </references>
      </pivotArea>
    </chartFormat>
    <chartFormat chart="4" format="24">
      <pivotArea type="data" outline="0" fieldPosition="0">
        <references count="2">
          <reference field="4294967294" count="1" selected="0">
            <x v="0"/>
          </reference>
          <reference field="0"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AD4659F-7A73-4034-B923-A385355ECE9F}"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5" firstHeaderRow="1" firstDataRow="1" firstDataCol="1"/>
  <pivotFields count="18">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0"/>
  </rowFields>
  <rowItems count="12">
    <i>
      <x/>
    </i>
    <i>
      <x v="1"/>
    </i>
    <i>
      <x v="2"/>
    </i>
    <i>
      <x v="3"/>
    </i>
    <i>
      <x v="4"/>
    </i>
    <i>
      <x v="5"/>
    </i>
    <i>
      <x v="6"/>
    </i>
    <i>
      <x v="7"/>
    </i>
    <i>
      <x v="8"/>
    </i>
    <i>
      <x v="9"/>
    </i>
    <i>
      <x v="10"/>
    </i>
    <i t="grand">
      <x/>
    </i>
  </rowItems>
  <colItems count="1">
    <i/>
  </colItems>
  <dataFields count="1">
    <dataField name="Sum of Stock Price Growth (%)2" fld="9" baseField="0" baseItem="0"/>
  </dataFields>
  <chartFormats count="24">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3" format="5">
      <pivotArea type="data" outline="0" fieldPosition="0">
        <references count="2">
          <reference field="4294967294" count="1" selected="0">
            <x v="0"/>
          </reference>
          <reference field="0" count="1" selected="0">
            <x v="3"/>
          </reference>
        </references>
      </pivotArea>
    </chartFormat>
    <chartFormat chart="3" format="6">
      <pivotArea type="data" outline="0" fieldPosition="0">
        <references count="2">
          <reference field="4294967294" count="1" selected="0">
            <x v="0"/>
          </reference>
          <reference field="0" count="1" selected="0">
            <x v="4"/>
          </reference>
        </references>
      </pivotArea>
    </chartFormat>
    <chartFormat chart="3" format="7">
      <pivotArea type="data" outline="0" fieldPosition="0">
        <references count="2">
          <reference field="4294967294" count="1" selected="0">
            <x v="0"/>
          </reference>
          <reference field="0" count="1" selected="0">
            <x v="5"/>
          </reference>
        </references>
      </pivotArea>
    </chartFormat>
    <chartFormat chart="3" format="8">
      <pivotArea type="data" outline="0" fieldPosition="0">
        <references count="2">
          <reference field="4294967294" count="1" selected="0">
            <x v="0"/>
          </reference>
          <reference field="0" count="1" selected="0">
            <x v="6"/>
          </reference>
        </references>
      </pivotArea>
    </chartFormat>
    <chartFormat chart="3" format="9">
      <pivotArea type="data" outline="0" fieldPosition="0">
        <references count="2">
          <reference field="4294967294" count="1" selected="0">
            <x v="0"/>
          </reference>
          <reference field="0" count="1" selected="0">
            <x v="7"/>
          </reference>
        </references>
      </pivotArea>
    </chartFormat>
    <chartFormat chart="3" format="10">
      <pivotArea type="data" outline="0" fieldPosition="0">
        <references count="2">
          <reference field="4294967294" count="1" selected="0">
            <x v="0"/>
          </reference>
          <reference field="0" count="1" selected="0">
            <x v="8"/>
          </reference>
        </references>
      </pivotArea>
    </chartFormat>
    <chartFormat chart="3" format="11">
      <pivotArea type="data" outline="0" fieldPosition="0">
        <references count="2">
          <reference field="4294967294" count="1" selected="0">
            <x v="0"/>
          </reference>
          <reference field="0" count="1" selected="0">
            <x v="9"/>
          </reference>
        </references>
      </pivotArea>
    </chartFormat>
    <chartFormat chart="3" format="12">
      <pivotArea type="data" outline="0" fieldPosition="0">
        <references count="2">
          <reference field="4294967294" count="1" selected="0">
            <x v="0"/>
          </reference>
          <reference field="0" count="1" selected="0">
            <x v="10"/>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0" count="1" selected="0">
            <x v="0"/>
          </reference>
        </references>
      </pivotArea>
    </chartFormat>
    <chartFormat chart="4" format="15">
      <pivotArea type="data" outline="0" fieldPosition="0">
        <references count="2">
          <reference field="4294967294" count="1" selected="0">
            <x v="0"/>
          </reference>
          <reference field="0" count="1" selected="0">
            <x v="1"/>
          </reference>
        </references>
      </pivotArea>
    </chartFormat>
    <chartFormat chart="4" format="16">
      <pivotArea type="data" outline="0" fieldPosition="0">
        <references count="2">
          <reference field="4294967294" count="1" selected="0">
            <x v="0"/>
          </reference>
          <reference field="0" count="1" selected="0">
            <x v="2"/>
          </reference>
        </references>
      </pivotArea>
    </chartFormat>
    <chartFormat chart="4" format="17">
      <pivotArea type="data" outline="0" fieldPosition="0">
        <references count="2">
          <reference field="4294967294" count="1" selected="0">
            <x v="0"/>
          </reference>
          <reference field="0" count="1" selected="0">
            <x v="3"/>
          </reference>
        </references>
      </pivotArea>
    </chartFormat>
    <chartFormat chart="4" format="18">
      <pivotArea type="data" outline="0" fieldPosition="0">
        <references count="2">
          <reference field="4294967294" count="1" selected="0">
            <x v="0"/>
          </reference>
          <reference field="0" count="1" selected="0">
            <x v="4"/>
          </reference>
        </references>
      </pivotArea>
    </chartFormat>
    <chartFormat chart="4" format="19">
      <pivotArea type="data" outline="0" fieldPosition="0">
        <references count="2">
          <reference field="4294967294" count="1" selected="0">
            <x v="0"/>
          </reference>
          <reference field="0" count="1" selected="0">
            <x v="5"/>
          </reference>
        </references>
      </pivotArea>
    </chartFormat>
    <chartFormat chart="4" format="20">
      <pivotArea type="data" outline="0" fieldPosition="0">
        <references count="2">
          <reference field="4294967294" count="1" selected="0">
            <x v="0"/>
          </reference>
          <reference field="0" count="1" selected="0">
            <x v="6"/>
          </reference>
        </references>
      </pivotArea>
    </chartFormat>
    <chartFormat chart="4" format="21">
      <pivotArea type="data" outline="0" fieldPosition="0">
        <references count="2">
          <reference field="4294967294" count="1" selected="0">
            <x v="0"/>
          </reference>
          <reference field="0" count="1" selected="0">
            <x v="7"/>
          </reference>
        </references>
      </pivotArea>
    </chartFormat>
    <chartFormat chart="4" format="22">
      <pivotArea type="data" outline="0" fieldPosition="0">
        <references count="2">
          <reference field="4294967294" count="1" selected="0">
            <x v="0"/>
          </reference>
          <reference field="0" count="1" selected="0">
            <x v="8"/>
          </reference>
        </references>
      </pivotArea>
    </chartFormat>
    <chartFormat chart="4" format="23">
      <pivotArea type="data" outline="0" fieldPosition="0">
        <references count="2">
          <reference field="4294967294" count="1" selected="0">
            <x v="0"/>
          </reference>
          <reference field="0" count="1" selected="0">
            <x v="9"/>
          </reference>
        </references>
      </pivotArea>
    </chartFormat>
    <chartFormat chart="4" format="24">
      <pivotArea type="data" outline="0" fieldPosition="0">
        <references count="2">
          <reference field="4294967294" count="1" selected="0">
            <x v="0"/>
          </reference>
          <reference field="0"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E33B1BA-DFF4-4425-B794-DD6B99E005A5}" sourceName="Month">
  <pivotTables>
    <pivotTable tabId="4" name="PivotTable2"/>
  </pivotTables>
  <data>
    <tabular pivotCacheId="1325147152">
      <items count="12">
        <i x="0"/>
        <i x="1"/>
        <i x="2"/>
        <i x="3" s="1"/>
        <i x="4"/>
        <i x="5"/>
        <i x="6"/>
        <i x="7"/>
        <i x="8"/>
        <i x="9"/>
        <i x="10"/>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33E4B1B-3B94-44B6-8BDB-6BC10120292A}" sourceName="Year">
  <pivotTables>
    <pivotTable tabId="8" name="PivotTable6"/>
  </pivotTables>
  <data>
    <tabular pivotCacheId="1325147152">
      <items count="11">
        <i x="0"/>
        <i x="1"/>
        <i x="2"/>
        <i x="3" s="1"/>
        <i x="4"/>
        <i x="5"/>
        <i x="6"/>
        <i x="7"/>
        <i x="8"/>
        <i x="9"/>
        <i x="1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ical_Data" xr10:uid="{CFCE0333-881B-48F1-BFCB-134336194253}" sourceName="Geographical Data">
  <pivotTables>
    <pivotTable tabId="12" name="PivotTable10"/>
  </pivotTables>
  <data>
    <tabular pivotCacheId="1325147152">
      <items count="5">
        <i x="2"/>
        <i x="3"/>
        <i x="4"/>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FDC658E-078E-451F-B170-69B42EEB3535}" cache="Slicer_Month" caption="Month" columnCount="2" rowHeight="241300"/>
  <slicer name="Year" xr10:uid="{38AF5B1E-3520-4444-ACD7-C9A0DC01A98A}" cache="Slicer_Year" caption="Year" rowHeight="241300"/>
  <slicer name="Geographical Data" xr10:uid="{D8D022A9-34E0-4097-8F79-1154586C96AE}" cache="Slicer_Geographical_Data" caption="Geographical Data" startItem="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 /></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 /></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 /></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 /></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 /></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 /></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 /></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 /></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 /></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 /></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 /></Relationships>
</file>

<file path=xl/worksheets/_rels/sheet13.xml.rels><?xml version="1.0" encoding="UTF-8" standalone="yes"?>
<Relationships xmlns="http://schemas.openxmlformats.org/package/2006/relationships"><Relationship Id="rId2" Type="http://schemas.microsoft.com/office/2007/relationships/slicer" Target="../slicers/slicer1.xml"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8F45C-81C1-4D73-B764-90686AF1E4AE}">
  <dimension ref="A3:B15"/>
  <sheetViews>
    <sheetView topLeftCell="BX2" workbookViewId="0">
      <selection activeCell="I3" sqref="I3"/>
    </sheetView>
  </sheetViews>
  <sheetFormatPr defaultRowHeight="15" x14ac:dyDescent="0.2"/>
  <cols>
    <col min="1" max="1" width="13.1796875" bestFit="1" customWidth="1"/>
    <col min="2" max="2" width="26.6328125" bestFit="1" customWidth="1"/>
  </cols>
  <sheetData>
    <row r="3" spans="1:2" x14ac:dyDescent="0.2">
      <c r="A3" s="3" t="s">
        <v>53</v>
      </c>
      <c r="B3" t="s">
        <v>55</v>
      </c>
    </row>
    <row r="4" spans="1:2" x14ac:dyDescent="0.2">
      <c r="A4" s="4">
        <v>2016</v>
      </c>
      <c r="B4">
        <v>111.56</v>
      </c>
    </row>
    <row r="5" spans="1:2" x14ac:dyDescent="0.2">
      <c r="A5" s="4">
        <v>2017</v>
      </c>
      <c r="B5">
        <v>128.78</v>
      </c>
    </row>
    <row r="6" spans="1:2" x14ac:dyDescent="0.2">
      <c r="A6" s="4">
        <v>2018</v>
      </c>
      <c r="B6">
        <v>119.35000000000001</v>
      </c>
    </row>
    <row r="7" spans="1:2" x14ac:dyDescent="0.2">
      <c r="A7" s="4">
        <v>2019</v>
      </c>
      <c r="B7">
        <v>136.67000000000002</v>
      </c>
    </row>
    <row r="8" spans="1:2" x14ac:dyDescent="0.2">
      <c r="A8" s="4">
        <v>2020</v>
      </c>
      <c r="B8">
        <v>130.19999999999999</v>
      </c>
    </row>
    <row r="9" spans="1:2" x14ac:dyDescent="0.2">
      <c r="A9" s="4">
        <v>2021</v>
      </c>
      <c r="B9">
        <v>142.92000000000002</v>
      </c>
    </row>
    <row r="10" spans="1:2" x14ac:dyDescent="0.2">
      <c r="A10" s="4">
        <v>2022</v>
      </c>
      <c r="B10">
        <v>127.29</v>
      </c>
    </row>
    <row r="11" spans="1:2" x14ac:dyDescent="0.2">
      <c r="A11" s="4">
        <v>2023</v>
      </c>
      <c r="B11">
        <v>124.79</v>
      </c>
    </row>
    <row r="12" spans="1:2" x14ac:dyDescent="0.2">
      <c r="A12" s="4">
        <v>2024</v>
      </c>
      <c r="B12">
        <v>114.21999999999998</v>
      </c>
    </row>
    <row r="13" spans="1:2" x14ac:dyDescent="0.2">
      <c r="A13" s="4">
        <v>2025</v>
      </c>
      <c r="B13">
        <v>133.03</v>
      </c>
    </row>
    <row r="14" spans="1:2" x14ac:dyDescent="0.2">
      <c r="A14" s="4">
        <v>2026</v>
      </c>
      <c r="B14">
        <v>90.7</v>
      </c>
    </row>
    <row r="15" spans="1:2" x14ac:dyDescent="0.2">
      <c r="A15" s="4" t="s">
        <v>54</v>
      </c>
      <c r="B15">
        <v>1359.51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9E042-BD21-4B64-B9EA-2286E8B2CC40}">
  <dimension ref="A3:E15"/>
  <sheetViews>
    <sheetView workbookViewId="0">
      <selection activeCell="H14" sqref="H14"/>
    </sheetView>
  </sheetViews>
  <sheetFormatPr defaultRowHeight="15" x14ac:dyDescent="0.2"/>
  <cols>
    <col min="1" max="1" width="13.1796875" bestFit="1" customWidth="1"/>
    <col min="2" max="2" width="28.25" bestFit="1" customWidth="1"/>
    <col min="3" max="3" width="15.19921875" bestFit="1" customWidth="1"/>
  </cols>
  <sheetData>
    <row r="3" spans="1:5" x14ac:dyDescent="0.2">
      <c r="A3" s="3" t="s">
        <v>53</v>
      </c>
      <c r="B3" t="s">
        <v>56</v>
      </c>
      <c r="C3" t="s">
        <v>57</v>
      </c>
    </row>
    <row r="4" spans="1:5" x14ac:dyDescent="0.2">
      <c r="A4" s="4">
        <v>2016</v>
      </c>
      <c r="B4">
        <v>11.44</v>
      </c>
      <c r="C4">
        <v>1</v>
      </c>
    </row>
    <row r="5" spans="1:5" x14ac:dyDescent="0.2">
      <c r="A5" s="4">
        <v>2017</v>
      </c>
      <c r="B5">
        <v>10.130000000000001</v>
      </c>
      <c r="C5">
        <v>1</v>
      </c>
    </row>
    <row r="6" spans="1:5" x14ac:dyDescent="0.2">
      <c r="A6" s="4">
        <v>2018</v>
      </c>
      <c r="B6">
        <v>11.85</v>
      </c>
      <c r="C6">
        <v>1</v>
      </c>
    </row>
    <row r="7" spans="1:5" x14ac:dyDescent="0.2">
      <c r="A7" s="4">
        <v>2019</v>
      </c>
      <c r="B7">
        <v>-1.57</v>
      </c>
      <c r="C7">
        <v>1</v>
      </c>
    </row>
    <row r="8" spans="1:5" x14ac:dyDescent="0.2">
      <c r="A8" s="4">
        <v>2020</v>
      </c>
      <c r="B8">
        <v>5.49</v>
      </c>
      <c r="C8">
        <v>1</v>
      </c>
    </row>
    <row r="9" spans="1:5" x14ac:dyDescent="0.2">
      <c r="A9" s="4">
        <v>2021</v>
      </c>
      <c r="B9">
        <v>15.64</v>
      </c>
      <c r="C9">
        <v>1</v>
      </c>
    </row>
    <row r="10" spans="1:5" x14ac:dyDescent="0.2">
      <c r="A10" s="4">
        <v>2022</v>
      </c>
      <c r="B10">
        <v>4.07</v>
      </c>
      <c r="C10">
        <v>1</v>
      </c>
    </row>
    <row r="11" spans="1:5" x14ac:dyDescent="0.2">
      <c r="A11" s="4">
        <v>2023</v>
      </c>
      <c r="B11">
        <v>11.75</v>
      </c>
      <c r="C11">
        <v>1</v>
      </c>
    </row>
    <row r="12" spans="1:5" x14ac:dyDescent="0.2">
      <c r="A12" s="4">
        <v>2024</v>
      </c>
      <c r="B12">
        <v>13.15</v>
      </c>
      <c r="C12">
        <v>1</v>
      </c>
    </row>
    <row r="13" spans="1:5" x14ac:dyDescent="0.2">
      <c r="A13" s="4">
        <v>2025</v>
      </c>
      <c r="B13">
        <v>9.98</v>
      </c>
      <c r="C13">
        <v>1</v>
      </c>
      <c r="E13" t="s">
        <v>58</v>
      </c>
    </row>
    <row r="14" spans="1:5" x14ac:dyDescent="0.2">
      <c r="A14" s="4">
        <v>2026</v>
      </c>
      <c r="B14">
        <v>7.56</v>
      </c>
      <c r="C14">
        <v>1</v>
      </c>
    </row>
    <row r="15" spans="1:5" x14ac:dyDescent="0.2">
      <c r="A15" s="4" t="s">
        <v>54</v>
      </c>
      <c r="B15">
        <v>99.490000000000023</v>
      </c>
      <c r="C15">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BE129-F6CE-44EE-922E-12B06CAD789B}">
  <dimension ref="A3:B29"/>
  <sheetViews>
    <sheetView workbookViewId="0">
      <selection activeCell="A3" sqref="A3"/>
    </sheetView>
  </sheetViews>
  <sheetFormatPr defaultRowHeight="15" x14ac:dyDescent="0.2"/>
  <cols>
    <col min="1" max="1" width="26.90234375" bestFit="1" customWidth="1"/>
    <col min="2" max="2" width="34.97265625" bestFit="1" customWidth="1"/>
  </cols>
  <sheetData>
    <row r="3" spans="1:2" x14ac:dyDescent="0.2">
      <c r="A3" s="3" t="s">
        <v>53</v>
      </c>
      <c r="B3" t="s">
        <v>59</v>
      </c>
    </row>
    <row r="4" spans="1:2" x14ac:dyDescent="0.2">
      <c r="A4" s="4">
        <v>2019</v>
      </c>
      <c r="B4">
        <v>26.340000000000003</v>
      </c>
    </row>
    <row r="5" spans="1:2" x14ac:dyDescent="0.2">
      <c r="A5" s="5" t="s">
        <v>18</v>
      </c>
      <c r="B5">
        <v>2.14</v>
      </c>
    </row>
    <row r="6" spans="1:2" x14ac:dyDescent="0.2">
      <c r="A6" s="6" t="s">
        <v>33</v>
      </c>
      <c r="B6">
        <v>2.14</v>
      </c>
    </row>
    <row r="7" spans="1:2" x14ac:dyDescent="0.2">
      <c r="A7" s="5" t="s">
        <v>24</v>
      </c>
      <c r="B7">
        <v>2.15</v>
      </c>
    </row>
    <row r="8" spans="1:2" x14ac:dyDescent="0.2">
      <c r="A8" s="6" t="s">
        <v>48</v>
      </c>
      <c r="B8">
        <v>2.15</v>
      </c>
    </row>
    <row r="9" spans="1:2" x14ac:dyDescent="0.2">
      <c r="A9" s="5" t="s">
        <v>29</v>
      </c>
      <c r="B9">
        <v>2.16</v>
      </c>
    </row>
    <row r="10" spans="1:2" x14ac:dyDescent="0.2">
      <c r="A10" s="6" t="s">
        <v>43</v>
      </c>
      <c r="B10">
        <v>2.16</v>
      </c>
    </row>
    <row r="11" spans="1:2" x14ac:dyDescent="0.2">
      <c r="A11" s="5" t="s">
        <v>34</v>
      </c>
      <c r="B11">
        <v>2.17</v>
      </c>
    </row>
    <row r="12" spans="1:2" x14ac:dyDescent="0.2">
      <c r="A12" s="6" t="s">
        <v>33</v>
      </c>
      <c r="B12">
        <v>2.17</v>
      </c>
    </row>
    <row r="13" spans="1:2" x14ac:dyDescent="0.2">
      <c r="A13" s="5" t="s">
        <v>38</v>
      </c>
      <c r="B13">
        <v>2.1800000000000002</v>
      </c>
    </row>
    <row r="14" spans="1:2" x14ac:dyDescent="0.2">
      <c r="A14" s="6" t="s">
        <v>37</v>
      </c>
      <c r="B14">
        <v>2.1800000000000002</v>
      </c>
    </row>
    <row r="15" spans="1:2" x14ac:dyDescent="0.2">
      <c r="A15" s="5" t="s">
        <v>42</v>
      </c>
      <c r="B15">
        <v>2.19</v>
      </c>
    </row>
    <row r="16" spans="1:2" x14ac:dyDescent="0.2">
      <c r="A16" s="6" t="s">
        <v>33</v>
      </c>
      <c r="B16">
        <v>2.19</v>
      </c>
    </row>
    <row r="17" spans="1:2" x14ac:dyDescent="0.2">
      <c r="A17" s="5" t="s">
        <v>44</v>
      </c>
      <c r="B17">
        <v>2.2000000000000002</v>
      </c>
    </row>
    <row r="18" spans="1:2" x14ac:dyDescent="0.2">
      <c r="A18" s="6" t="s">
        <v>23</v>
      </c>
      <c r="B18">
        <v>2.2000000000000002</v>
      </c>
    </row>
    <row r="19" spans="1:2" x14ac:dyDescent="0.2">
      <c r="A19" s="5" t="s">
        <v>45</v>
      </c>
      <c r="B19">
        <v>2.21</v>
      </c>
    </row>
    <row r="20" spans="1:2" x14ac:dyDescent="0.2">
      <c r="A20" s="6" t="s">
        <v>43</v>
      </c>
      <c r="B20">
        <v>2.21</v>
      </c>
    </row>
    <row r="21" spans="1:2" x14ac:dyDescent="0.2">
      <c r="A21" s="5" t="s">
        <v>46</v>
      </c>
      <c r="B21">
        <v>2.2200000000000002</v>
      </c>
    </row>
    <row r="22" spans="1:2" x14ac:dyDescent="0.2">
      <c r="A22" s="6" t="s">
        <v>23</v>
      </c>
      <c r="B22">
        <v>2.2200000000000002</v>
      </c>
    </row>
    <row r="23" spans="1:2" x14ac:dyDescent="0.2">
      <c r="A23" s="5" t="s">
        <v>47</v>
      </c>
      <c r="B23">
        <v>2.23</v>
      </c>
    </row>
    <row r="24" spans="1:2" x14ac:dyDescent="0.2">
      <c r="A24" s="6" t="s">
        <v>43</v>
      </c>
      <c r="B24">
        <v>2.23</v>
      </c>
    </row>
    <row r="25" spans="1:2" x14ac:dyDescent="0.2">
      <c r="A25" s="5" t="s">
        <v>49</v>
      </c>
      <c r="B25">
        <v>2.2400000000000002</v>
      </c>
    </row>
    <row r="26" spans="1:2" x14ac:dyDescent="0.2">
      <c r="A26" s="6" t="s">
        <v>28</v>
      </c>
      <c r="B26">
        <v>2.2400000000000002</v>
      </c>
    </row>
    <row r="27" spans="1:2" x14ac:dyDescent="0.2">
      <c r="A27" s="5" t="s">
        <v>50</v>
      </c>
      <c r="B27">
        <v>2.25</v>
      </c>
    </row>
    <row r="28" spans="1:2" x14ac:dyDescent="0.2">
      <c r="A28" s="6" t="s">
        <v>48</v>
      </c>
      <c r="B28">
        <v>2.25</v>
      </c>
    </row>
    <row r="29" spans="1:2" x14ac:dyDescent="0.2">
      <c r="A29" s="4" t="s">
        <v>54</v>
      </c>
      <c r="B29">
        <v>26.340000000000003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24D56-F716-4E25-85E4-C32FFD9438DB}">
  <dimension ref="A3:C15"/>
  <sheetViews>
    <sheetView topLeftCell="B2" zoomScale="116" workbookViewId="0">
      <selection activeCell="H4" sqref="H4"/>
    </sheetView>
  </sheetViews>
  <sheetFormatPr defaultRowHeight="15" x14ac:dyDescent="0.2"/>
  <cols>
    <col min="1" max="1" width="13.1796875" bestFit="1" customWidth="1"/>
    <col min="2" max="2" width="24.75" bestFit="1" customWidth="1"/>
    <col min="3" max="3" width="23.40625" bestFit="1" customWidth="1"/>
  </cols>
  <sheetData>
    <row r="3" spans="1:3" x14ac:dyDescent="0.2">
      <c r="A3" s="3" t="s">
        <v>53</v>
      </c>
      <c r="B3" t="s">
        <v>60</v>
      </c>
      <c r="C3" t="s">
        <v>61</v>
      </c>
    </row>
    <row r="4" spans="1:3" x14ac:dyDescent="0.2">
      <c r="A4" s="4">
        <v>2016</v>
      </c>
      <c r="B4">
        <v>126.02000000000001</v>
      </c>
      <c r="C4">
        <v>15.149999999999999</v>
      </c>
    </row>
    <row r="5" spans="1:3" x14ac:dyDescent="0.2">
      <c r="A5" s="4">
        <v>2017</v>
      </c>
      <c r="B5">
        <v>100.14</v>
      </c>
      <c r="C5">
        <v>11.530000000000001</v>
      </c>
    </row>
    <row r="6" spans="1:3" x14ac:dyDescent="0.2">
      <c r="A6" s="4">
        <v>2018</v>
      </c>
      <c r="B6">
        <v>97.05</v>
      </c>
      <c r="C6">
        <v>15.449999999999998</v>
      </c>
    </row>
    <row r="7" spans="1:3" x14ac:dyDescent="0.2">
      <c r="A7" s="4">
        <v>2019</v>
      </c>
      <c r="B7">
        <v>100.26999999999998</v>
      </c>
      <c r="C7">
        <v>12.920000000000002</v>
      </c>
    </row>
    <row r="8" spans="1:3" x14ac:dyDescent="0.2">
      <c r="A8" s="4">
        <v>2020</v>
      </c>
      <c r="B8">
        <v>106.71999999999998</v>
      </c>
      <c r="C8">
        <v>12.27</v>
      </c>
    </row>
    <row r="9" spans="1:3" x14ac:dyDescent="0.2">
      <c r="A9" s="4">
        <v>2021</v>
      </c>
      <c r="B9">
        <v>124</v>
      </c>
      <c r="C9">
        <v>11.969999999999999</v>
      </c>
    </row>
    <row r="10" spans="1:3" x14ac:dyDescent="0.2">
      <c r="A10" s="4">
        <v>2022</v>
      </c>
      <c r="B10">
        <v>113.41999999999999</v>
      </c>
      <c r="C10">
        <v>14.589999999999998</v>
      </c>
    </row>
    <row r="11" spans="1:3" x14ac:dyDescent="0.2">
      <c r="A11" s="4">
        <v>2023</v>
      </c>
      <c r="B11">
        <v>151.53</v>
      </c>
      <c r="C11">
        <v>14.57</v>
      </c>
    </row>
    <row r="12" spans="1:3" x14ac:dyDescent="0.2">
      <c r="A12" s="4">
        <v>2024</v>
      </c>
      <c r="B12">
        <v>108.42999999999998</v>
      </c>
      <c r="C12">
        <v>14.28</v>
      </c>
    </row>
    <row r="13" spans="1:3" x14ac:dyDescent="0.2">
      <c r="A13" s="4">
        <v>2025</v>
      </c>
      <c r="B13">
        <v>128.54999999999998</v>
      </c>
      <c r="C13">
        <v>18.260000000000002</v>
      </c>
    </row>
    <row r="14" spans="1:3" x14ac:dyDescent="0.2">
      <c r="A14" s="4">
        <v>2026</v>
      </c>
      <c r="B14">
        <v>107.11</v>
      </c>
      <c r="C14">
        <v>17.16</v>
      </c>
    </row>
    <row r="15" spans="1:3" x14ac:dyDescent="0.2">
      <c r="A15" s="4" t="s">
        <v>54</v>
      </c>
      <c r="B15">
        <v>1263.2399999999998</v>
      </c>
      <c r="C15">
        <v>158.14999999999998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4E344-17FB-4F96-9A0E-79FB0E94BBBE}">
  <dimension ref="A3:B11"/>
  <sheetViews>
    <sheetView workbookViewId="0">
      <selection activeCell="E2" sqref="E2"/>
    </sheetView>
  </sheetViews>
  <sheetFormatPr defaultRowHeight="15" x14ac:dyDescent="0.2"/>
  <cols>
    <col min="1" max="1" width="31.07421875" bestFit="1" customWidth="1"/>
    <col min="2" max="2" width="22.734375" bestFit="1" customWidth="1"/>
  </cols>
  <sheetData>
    <row r="3" spans="1:2" x14ac:dyDescent="0.2">
      <c r="A3" s="3" t="s">
        <v>53</v>
      </c>
      <c r="B3" t="s">
        <v>62</v>
      </c>
    </row>
    <row r="4" spans="1:2" x14ac:dyDescent="0.2">
      <c r="A4" s="4">
        <v>2026</v>
      </c>
      <c r="B4">
        <v>42.59</v>
      </c>
    </row>
    <row r="5" spans="1:2" x14ac:dyDescent="0.2">
      <c r="A5" s="5" t="s">
        <v>27</v>
      </c>
      <c r="B5">
        <v>15.409999999999998</v>
      </c>
    </row>
    <row r="6" spans="1:2" x14ac:dyDescent="0.2">
      <c r="A6" s="5" t="s">
        <v>36</v>
      </c>
      <c r="B6">
        <v>2.5</v>
      </c>
    </row>
    <row r="7" spans="1:2" x14ac:dyDescent="0.2">
      <c r="A7" s="5" t="s">
        <v>41</v>
      </c>
      <c r="B7">
        <v>2.37</v>
      </c>
    </row>
    <row r="8" spans="1:2" x14ac:dyDescent="0.2">
      <c r="A8" s="5" t="s">
        <v>51</v>
      </c>
      <c r="B8">
        <v>2.66</v>
      </c>
    </row>
    <row r="9" spans="1:2" x14ac:dyDescent="0.2">
      <c r="A9" s="5" t="s">
        <v>21</v>
      </c>
      <c r="B9">
        <v>6.3800000000000008</v>
      </c>
    </row>
    <row r="10" spans="1:2" x14ac:dyDescent="0.2">
      <c r="A10" s="5" t="s">
        <v>32</v>
      </c>
      <c r="B10">
        <v>13.27</v>
      </c>
    </row>
    <row r="11" spans="1:2" x14ac:dyDescent="0.2">
      <c r="A11" s="4" t="s">
        <v>54</v>
      </c>
      <c r="B11">
        <v>42.59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BCB27-78BE-48E9-BDF2-2F9DD098C929}">
  <dimension ref="A1:B28"/>
  <sheetViews>
    <sheetView workbookViewId="0">
      <selection activeCell="M6" sqref="M6"/>
    </sheetView>
  </sheetViews>
  <sheetFormatPr defaultRowHeight="15" x14ac:dyDescent="0.2"/>
  <cols>
    <col min="1" max="1" width="14.52734375" bestFit="1" customWidth="1"/>
    <col min="2" max="2" width="39.546875" bestFit="1" customWidth="1"/>
    <col min="3" max="5" width="7.93359375" bestFit="1" customWidth="1"/>
    <col min="6" max="6" width="6.9921875" bestFit="1" customWidth="1"/>
    <col min="7" max="7" width="7.93359375" bestFit="1" customWidth="1"/>
    <col min="8" max="8" width="6.05078125" bestFit="1" customWidth="1"/>
    <col min="9" max="10" width="7.93359375" bestFit="1" customWidth="1"/>
    <col min="11" max="11" width="6.05078125" bestFit="1" customWidth="1"/>
    <col min="12" max="14" width="7.93359375" bestFit="1" customWidth="1"/>
    <col min="15" max="15" width="6.9921875" bestFit="1" customWidth="1"/>
    <col min="16" max="18" width="7.93359375" bestFit="1" customWidth="1"/>
    <col min="19" max="19" width="6.9921875" bestFit="1" customWidth="1"/>
    <col min="20" max="20" width="7.93359375" bestFit="1" customWidth="1"/>
    <col min="21" max="21" width="6.05078125" bestFit="1" customWidth="1"/>
    <col min="22" max="22" width="7.93359375" bestFit="1" customWidth="1"/>
    <col min="23" max="23" width="6.9921875" bestFit="1" customWidth="1"/>
    <col min="24" max="26" width="7.93359375" bestFit="1" customWidth="1"/>
    <col min="27" max="27" width="6.05078125" bestFit="1" customWidth="1"/>
    <col min="28" max="31" width="7.93359375" bestFit="1" customWidth="1"/>
    <col min="32" max="32" width="6.9921875" bestFit="1" customWidth="1"/>
    <col min="33" max="34" width="7.93359375" bestFit="1" customWidth="1"/>
    <col min="35" max="36" width="6.9921875" bestFit="1" customWidth="1"/>
    <col min="37" max="38" width="7.93359375" bestFit="1" customWidth="1"/>
    <col min="39" max="39" width="6.9921875" bestFit="1" customWidth="1"/>
    <col min="40" max="43" width="7.93359375" bestFit="1" customWidth="1"/>
    <col min="44" max="44" width="6.9921875" bestFit="1" customWidth="1"/>
    <col min="45" max="52" width="7.93359375" bestFit="1" customWidth="1"/>
    <col min="53" max="53" width="6.9921875" bestFit="1" customWidth="1"/>
    <col min="54" max="54" width="7.93359375" bestFit="1" customWidth="1"/>
    <col min="55" max="55" width="6.9921875" bestFit="1" customWidth="1"/>
    <col min="56" max="56" width="7.93359375" bestFit="1" customWidth="1"/>
    <col min="57" max="59" width="6.9921875" bestFit="1" customWidth="1"/>
    <col min="60" max="62" width="7.93359375" bestFit="1" customWidth="1"/>
    <col min="63" max="64" width="6.9921875" bestFit="1" customWidth="1"/>
    <col min="65" max="67" width="7.93359375" bestFit="1" customWidth="1"/>
    <col min="68" max="69" width="6.9921875" bestFit="1" customWidth="1"/>
    <col min="70" max="71" width="7.93359375" bestFit="1" customWidth="1"/>
    <col min="72" max="72" width="6.9921875" bestFit="1" customWidth="1"/>
    <col min="73" max="76" width="7.93359375" bestFit="1" customWidth="1"/>
    <col min="77" max="77" width="6.9921875" bestFit="1" customWidth="1"/>
    <col min="78" max="84" width="7.93359375" bestFit="1" customWidth="1"/>
    <col min="85" max="85" width="6.05078125" bestFit="1" customWidth="1"/>
    <col min="86" max="97" width="7.93359375" bestFit="1" customWidth="1"/>
    <col min="98" max="98" width="6.9921875" bestFit="1" customWidth="1"/>
    <col min="99" max="100" width="7.93359375" bestFit="1" customWidth="1"/>
    <col min="101" max="102" width="6.9921875" bestFit="1" customWidth="1"/>
    <col min="103" max="105" width="7.93359375" bestFit="1" customWidth="1"/>
    <col min="106" max="107" width="6.9921875" bestFit="1" customWidth="1"/>
    <col min="108" max="111" width="7.93359375" bestFit="1" customWidth="1"/>
    <col min="112" max="112" width="6.9921875" bestFit="1" customWidth="1"/>
    <col min="113" max="113" width="7.93359375" bestFit="1" customWidth="1"/>
    <col min="114" max="116" width="6.9921875" bestFit="1" customWidth="1"/>
    <col min="117" max="118" width="7.93359375" bestFit="1" customWidth="1"/>
    <col min="119" max="121" width="6.9921875" bestFit="1" customWidth="1"/>
    <col min="122" max="123" width="7.93359375" bestFit="1" customWidth="1"/>
    <col min="124" max="124" width="6.9921875" bestFit="1" customWidth="1"/>
    <col min="125" max="126" width="7.93359375" bestFit="1" customWidth="1"/>
    <col min="127" max="127" width="6.9921875" bestFit="1" customWidth="1"/>
    <col min="128" max="128" width="7.93359375" bestFit="1" customWidth="1"/>
    <col min="129" max="129" width="11.296875" bestFit="1" customWidth="1"/>
  </cols>
  <sheetData>
    <row r="1" spans="1:2" x14ac:dyDescent="0.2">
      <c r="A1" s="3" t="s">
        <v>0</v>
      </c>
      <c r="B1" s="4">
        <v>2026</v>
      </c>
    </row>
    <row r="3" spans="1:2" x14ac:dyDescent="0.2">
      <c r="A3" s="3" t="s">
        <v>53</v>
      </c>
      <c r="B3" t="s">
        <v>63</v>
      </c>
    </row>
    <row r="4" spans="1:2" x14ac:dyDescent="0.2">
      <c r="A4" s="4">
        <v>60.9</v>
      </c>
      <c r="B4" s="7">
        <v>2487.29</v>
      </c>
    </row>
    <row r="5" spans="1:2" x14ac:dyDescent="0.2">
      <c r="A5" s="5" t="s">
        <v>46</v>
      </c>
      <c r="B5" s="7">
        <v>2487.29</v>
      </c>
    </row>
    <row r="6" spans="1:2" x14ac:dyDescent="0.2">
      <c r="A6" s="4">
        <v>63.89</v>
      </c>
      <c r="B6" s="7">
        <v>1132.45</v>
      </c>
    </row>
    <row r="7" spans="1:2" x14ac:dyDescent="0.2">
      <c r="A7" s="5" t="s">
        <v>18</v>
      </c>
      <c r="B7" s="7">
        <v>1132.45</v>
      </c>
    </row>
    <row r="8" spans="1:2" x14ac:dyDescent="0.2">
      <c r="A8" s="4">
        <v>69</v>
      </c>
      <c r="B8" s="7">
        <v>771.34</v>
      </c>
    </row>
    <row r="9" spans="1:2" x14ac:dyDescent="0.2">
      <c r="A9" s="5" t="s">
        <v>24</v>
      </c>
      <c r="B9" s="7">
        <v>771.34</v>
      </c>
    </row>
    <row r="10" spans="1:2" x14ac:dyDescent="0.2">
      <c r="A10" s="4">
        <v>75.959999999999994</v>
      </c>
      <c r="B10" s="7">
        <v>1195.43</v>
      </c>
    </row>
    <row r="11" spans="1:2" x14ac:dyDescent="0.2">
      <c r="A11" s="5" t="s">
        <v>49</v>
      </c>
      <c r="B11" s="7">
        <v>1195.43</v>
      </c>
    </row>
    <row r="12" spans="1:2" x14ac:dyDescent="0.2">
      <c r="A12" s="4">
        <v>82.43</v>
      </c>
      <c r="B12" s="7">
        <v>2815.35</v>
      </c>
    </row>
    <row r="13" spans="1:2" x14ac:dyDescent="0.2">
      <c r="A13" s="5" t="s">
        <v>29</v>
      </c>
      <c r="B13" s="7">
        <v>2815.35</v>
      </c>
    </row>
    <row r="14" spans="1:2" x14ac:dyDescent="0.2">
      <c r="A14" s="4">
        <v>84.24</v>
      </c>
      <c r="B14" s="7">
        <v>2154.2800000000002</v>
      </c>
    </row>
    <row r="15" spans="1:2" x14ac:dyDescent="0.2">
      <c r="A15" s="5" t="s">
        <v>47</v>
      </c>
      <c r="B15" s="7">
        <v>2154.2800000000002</v>
      </c>
    </row>
    <row r="16" spans="1:2" x14ac:dyDescent="0.2">
      <c r="A16" s="4">
        <v>84.75</v>
      </c>
      <c r="B16" s="7">
        <v>1000.22</v>
      </c>
    </row>
    <row r="17" spans="1:2" x14ac:dyDescent="0.2">
      <c r="A17" s="5" t="s">
        <v>42</v>
      </c>
      <c r="B17" s="7">
        <v>1000.22</v>
      </c>
    </row>
    <row r="18" spans="1:2" x14ac:dyDescent="0.2">
      <c r="A18" s="4">
        <v>88.36</v>
      </c>
      <c r="B18" s="7">
        <v>1869.13</v>
      </c>
    </row>
    <row r="19" spans="1:2" x14ac:dyDescent="0.2">
      <c r="A19" s="5" t="s">
        <v>38</v>
      </c>
      <c r="B19" s="7">
        <v>1869.13</v>
      </c>
    </row>
    <row r="20" spans="1:2" x14ac:dyDescent="0.2">
      <c r="A20" s="4">
        <v>89.25</v>
      </c>
      <c r="B20" s="7">
        <v>229.96</v>
      </c>
    </row>
    <row r="21" spans="1:2" x14ac:dyDescent="0.2">
      <c r="A21" s="5" t="s">
        <v>45</v>
      </c>
      <c r="B21" s="7">
        <v>229.96</v>
      </c>
    </row>
    <row r="22" spans="1:2" x14ac:dyDescent="0.2">
      <c r="A22" s="4">
        <v>90.2</v>
      </c>
      <c r="B22" s="7">
        <v>2098.2800000000002</v>
      </c>
    </row>
    <row r="23" spans="1:2" x14ac:dyDescent="0.2">
      <c r="A23" s="5" t="s">
        <v>50</v>
      </c>
      <c r="B23" s="7">
        <v>2098.2800000000002</v>
      </c>
    </row>
    <row r="24" spans="1:2" x14ac:dyDescent="0.2">
      <c r="A24" s="4">
        <v>90.24</v>
      </c>
      <c r="B24" s="7">
        <v>1601.78</v>
      </c>
    </row>
    <row r="25" spans="1:2" x14ac:dyDescent="0.2">
      <c r="A25" s="5" t="s">
        <v>44</v>
      </c>
      <c r="B25" s="7">
        <v>1601.78</v>
      </c>
    </row>
    <row r="26" spans="1:2" x14ac:dyDescent="0.2">
      <c r="A26" s="4">
        <v>96.88</v>
      </c>
      <c r="B26" s="7">
        <v>711.34</v>
      </c>
    </row>
    <row r="27" spans="1:2" x14ac:dyDescent="0.2">
      <c r="A27" s="5" t="s">
        <v>34</v>
      </c>
      <c r="B27" s="7">
        <v>711.34</v>
      </c>
    </row>
    <row r="28" spans="1:2" x14ac:dyDescent="0.2">
      <c r="A28" s="4" t="s">
        <v>54</v>
      </c>
      <c r="B28" s="7">
        <v>18066.850000000002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4F83B-64E4-48A6-B16C-54E4FC006040}">
  <dimension ref="A2:B15"/>
  <sheetViews>
    <sheetView topLeftCell="A2" workbookViewId="0">
      <selection activeCell="A3" sqref="A3:AA190"/>
    </sheetView>
  </sheetViews>
  <sheetFormatPr defaultRowHeight="15" x14ac:dyDescent="0.2"/>
  <cols>
    <col min="1" max="1" width="17.21875" bestFit="1" customWidth="1"/>
    <col min="2" max="2" width="35.2421875" bestFit="1" customWidth="1"/>
    <col min="3" max="3" width="7.26171875" bestFit="1" customWidth="1"/>
    <col min="4" max="4" width="13.1796875" bestFit="1" customWidth="1"/>
    <col min="5" max="5" width="11.43359375" bestFit="1" customWidth="1"/>
    <col min="6" max="6" width="13.98828125" bestFit="1" customWidth="1"/>
    <col min="7" max="7" width="11.296875" bestFit="1" customWidth="1"/>
  </cols>
  <sheetData>
    <row r="2" spans="1:2" x14ac:dyDescent="0.2">
      <c r="A2" s="3" t="s">
        <v>7</v>
      </c>
      <c r="B2" t="s">
        <v>25</v>
      </c>
    </row>
    <row r="4" spans="1:2" x14ac:dyDescent="0.2">
      <c r="A4" s="3" t="s">
        <v>53</v>
      </c>
      <c r="B4" t="s">
        <v>64</v>
      </c>
    </row>
    <row r="5" spans="1:2" x14ac:dyDescent="0.2">
      <c r="A5" s="4">
        <v>2016</v>
      </c>
      <c r="B5">
        <v>28.43</v>
      </c>
    </row>
    <row r="6" spans="1:2" x14ac:dyDescent="0.2">
      <c r="A6" s="4">
        <v>2017</v>
      </c>
      <c r="B6">
        <v>26.240000000000002</v>
      </c>
    </row>
    <row r="7" spans="1:2" x14ac:dyDescent="0.2">
      <c r="A7" s="4">
        <v>2019</v>
      </c>
      <c r="B7">
        <v>27.740000000000002</v>
      </c>
    </row>
    <row r="8" spans="1:2" x14ac:dyDescent="0.2">
      <c r="A8" s="4">
        <v>2020</v>
      </c>
      <c r="B8">
        <v>20.23</v>
      </c>
    </row>
    <row r="9" spans="1:2" x14ac:dyDescent="0.2">
      <c r="A9" s="4">
        <v>2021</v>
      </c>
      <c r="B9">
        <v>29.07</v>
      </c>
    </row>
    <row r="10" spans="1:2" x14ac:dyDescent="0.2">
      <c r="A10" s="4">
        <v>2022</v>
      </c>
      <c r="B10">
        <v>15.370000000000001</v>
      </c>
    </row>
    <row r="11" spans="1:2" x14ac:dyDescent="0.2">
      <c r="A11" s="4">
        <v>2023</v>
      </c>
      <c r="B11">
        <v>67.64</v>
      </c>
    </row>
    <row r="12" spans="1:2" x14ac:dyDescent="0.2">
      <c r="A12" s="4">
        <v>2024</v>
      </c>
      <c r="B12">
        <v>35.119999999999997</v>
      </c>
    </row>
    <row r="13" spans="1:2" x14ac:dyDescent="0.2">
      <c r="A13" s="4">
        <v>2025</v>
      </c>
      <c r="B13">
        <v>16.5</v>
      </c>
    </row>
    <row r="14" spans="1:2" x14ac:dyDescent="0.2">
      <c r="A14" s="4">
        <v>2026</v>
      </c>
      <c r="B14">
        <v>23.22</v>
      </c>
    </row>
    <row r="15" spans="1:2" x14ac:dyDescent="0.2">
      <c r="A15" s="4" t="s">
        <v>54</v>
      </c>
      <c r="B15">
        <v>289.56000000000006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DA94D-9C43-4C1F-8DAC-8D50DB625B4A}">
  <dimension ref="A3:B15"/>
  <sheetViews>
    <sheetView workbookViewId="0">
      <selection activeCell="B15" sqref="B15"/>
    </sheetView>
  </sheetViews>
  <sheetFormatPr defaultRowHeight="15" x14ac:dyDescent="0.2"/>
  <cols>
    <col min="1" max="1" width="13.1796875" bestFit="1" customWidth="1"/>
    <col min="2" max="2" width="26.6328125" bestFit="1" customWidth="1"/>
  </cols>
  <sheetData>
    <row r="3" spans="1:2" x14ac:dyDescent="0.2">
      <c r="A3" s="3" t="s">
        <v>53</v>
      </c>
      <c r="B3" t="s">
        <v>55</v>
      </c>
    </row>
    <row r="4" spans="1:2" x14ac:dyDescent="0.2">
      <c r="A4" s="4">
        <v>2016</v>
      </c>
      <c r="B4">
        <v>111.56</v>
      </c>
    </row>
    <row r="5" spans="1:2" x14ac:dyDescent="0.2">
      <c r="A5" s="4">
        <v>2017</v>
      </c>
      <c r="B5">
        <v>128.78</v>
      </c>
    </row>
    <row r="6" spans="1:2" x14ac:dyDescent="0.2">
      <c r="A6" s="4">
        <v>2018</v>
      </c>
      <c r="B6">
        <v>119.35000000000001</v>
      </c>
    </row>
    <row r="7" spans="1:2" x14ac:dyDescent="0.2">
      <c r="A7" s="4">
        <v>2019</v>
      </c>
      <c r="B7">
        <v>136.67000000000002</v>
      </c>
    </row>
    <row r="8" spans="1:2" x14ac:dyDescent="0.2">
      <c r="A8" s="4">
        <v>2020</v>
      </c>
      <c r="B8">
        <v>130.19999999999999</v>
      </c>
    </row>
    <row r="9" spans="1:2" x14ac:dyDescent="0.2">
      <c r="A9" s="4">
        <v>2021</v>
      </c>
      <c r="B9">
        <v>142.92000000000002</v>
      </c>
    </row>
    <row r="10" spans="1:2" x14ac:dyDescent="0.2">
      <c r="A10" s="4">
        <v>2022</v>
      </c>
      <c r="B10">
        <v>127.29</v>
      </c>
    </row>
    <row r="11" spans="1:2" x14ac:dyDescent="0.2">
      <c r="A11" s="4">
        <v>2023</v>
      </c>
      <c r="B11">
        <v>124.79</v>
      </c>
    </row>
    <row r="12" spans="1:2" x14ac:dyDescent="0.2">
      <c r="A12" s="4">
        <v>2024</v>
      </c>
      <c r="B12">
        <v>114.21999999999998</v>
      </c>
    </row>
    <row r="13" spans="1:2" x14ac:dyDescent="0.2">
      <c r="A13" s="4">
        <v>2025</v>
      </c>
      <c r="B13">
        <v>133.03</v>
      </c>
    </row>
    <row r="14" spans="1:2" x14ac:dyDescent="0.2">
      <c r="A14" s="4">
        <v>2026</v>
      </c>
      <c r="B14">
        <v>90.7</v>
      </c>
    </row>
    <row r="15" spans="1:2" x14ac:dyDescent="0.2">
      <c r="A15" s="4" t="s">
        <v>54</v>
      </c>
      <c r="B15">
        <v>1359.51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DF3D6-FD1F-44FD-8B98-EAFC4691A6F7}">
  <dimension ref="A3:B15"/>
  <sheetViews>
    <sheetView workbookViewId="0">
      <selection activeCell="I11" sqref="I11"/>
    </sheetView>
  </sheetViews>
  <sheetFormatPr defaultRowHeight="15" x14ac:dyDescent="0.2"/>
  <cols>
    <col min="1" max="1" width="13.1796875" bestFit="1" customWidth="1"/>
    <col min="2" max="2" width="35.2421875" bestFit="1" customWidth="1"/>
  </cols>
  <sheetData>
    <row r="3" spans="1:2" x14ac:dyDescent="0.2">
      <c r="A3" s="3" t="s">
        <v>53</v>
      </c>
      <c r="B3" t="s">
        <v>64</v>
      </c>
    </row>
    <row r="4" spans="1:2" x14ac:dyDescent="0.2">
      <c r="A4" s="4">
        <v>2016</v>
      </c>
      <c r="B4">
        <v>134.25</v>
      </c>
    </row>
    <row r="5" spans="1:2" x14ac:dyDescent="0.2">
      <c r="A5" s="4">
        <v>2017</v>
      </c>
      <c r="B5">
        <v>104.88999999999999</v>
      </c>
    </row>
    <row r="6" spans="1:2" x14ac:dyDescent="0.2">
      <c r="A6" s="4">
        <v>2018</v>
      </c>
      <c r="B6">
        <v>108.67</v>
      </c>
    </row>
    <row r="7" spans="1:2" x14ac:dyDescent="0.2">
      <c r="A7" s="4">
        <v>2019</v>
      </c>
      <c r="B7">
        <v>107.44</v>
      </c>
    </row>
    <row r="8" spans="1:2" x14ac:dyDescent="0.2">
      <c r="A8" s="4">
        <v>2020</v>
      </c>
      <c r="B8">
        <v>116.25</v>
      </c>
    </row>
    <row r="9" spans="1:2" x14ac:dyDescent="0.2">
      <c r="A9" s="4">
        <v>2021</v>
      </c>
      <c r="B9">
        <v>133.39000000000001</v>
      </c>
    </row>
    <row r="10" spans="1:2" x14ac:dyDescent="0.2">
      <c r="A10" s="4">
        <v>2022</v>
      </c>
      <c r="B10">
        <v>119.15999999999998</v>
      </c>
    </row>
    <row r="11" spans="1:2" x14ac:dyDescent="0.2">
      <c r="A11" s="4">
        <v>2023</v>
      </c>
      <c r="B11">
        <v>160.45000000000002</v>
      </c>
    </row>
    <row r="12" spans="1:2" x14ac:dyDescent="0.2">
      <c r="A12" s="4">
        <v>2024</v>
      </c>
      <c r="B12">
        <v>116.52999999999997</v>
      </c>
    </row>
    <row r="13" spans="1:2" x14ac:dyDescent="0.2">
      <c r="A13" s="4">
        <v>2025</v>
      </c>
      <c r="B13">
        <v>127.69</v>
      </c>
    </row>
    <row r="14" spans="1:2" x14ac:dyDescent="0.2">
      <c r="A14" s="4">
        <v>2026</v>
      </c>
      <c r="B14">
        <v>109.04</v>
      </c>
    </row>
    <row r="15" spans="1:2" x14ac:dyDescent="0.2">
      <c r="A15" s="4" t="s">
        <v>54</v>
      </c>
      <c r="B15">
        <v>1337.76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7F7C0-425D-4F88-ACDD-6828F5C35E60}">
  <dimension ref="A3:B15"/>
  <sheetViews>
    <sheetView workbookViewId="0">
      <selection activeCell="A3" sqref="A3"/>
    </sheetView>
  </sheetViews>
  <sheetFormatPr defaultRowHeight="15" x14ac:dyDescent="0.2"/>
  <cols>
    <col min="1" max="1" width="13.1796875" bestFit="1" customWidth="1"/>
    <col min="2" max="2" width="24.75" bestFit="1" customWidth="1"/>
  </cols>
  <sheetData>
    <row r="3" spans="1:2" x14ac:dyDescent="0.2">
      <c r="A3" s="3" t="s">
        <v>53</v>
      </c>
      <c r="B3" t="s">
        <v>60</v>
      </c>
    </row>
    <row r="4" spans="1:2" x14ac:dyDescent="0.2">
      <c r="A4" s="4">
        <v>2016</v>
      </c>
      <c r="B4">
        <v>126.02000000000001</v>
      </c>
    </row>
    <row r="5" spans="1:2" x14ac:dyDescent="0.2">
      <c r="A5" s="4">
        <v>2017</v>
      </c>
      <c r="B5">
        <v>100.14</v>
      </c>
    </row>
    <row r="6" spans="1:2" x14ac:dyDescent="0.2">
      <c r="A6" s="4">
        <v>2018</v>
      </c>
      <c r="B6">
        <v>97.05</v>
      </c>
    </row>
    <row r="7" spans="1:2" x14ac:dyDescent="0.2">
      <c r="A7" s="4">
        <v>2019</v>
      </c>
      <c r="B7">
        <v>100.26999999999998</v>
      </c>
    </row>
    <row r="8" spans="1:2" x14ac:dyDescent="0.2">
      <c r="A8" s="4">
        <v>2020</v>
      </c>
      <c r="B8">
        <v>106.71999999999998</v>
      </c>
    </row>
    <row r="9" spans="1:2" x14ac:dyDescent="0.2">
      <c r="A9" s="4">
        <v>2021</v>
      </c>
      <c r="B9">
        <v>124</v>
      </c>
    </row>
    <row r="10" spans="1:2" x14ac:dyDescent="0.2">
      <c r="A10" s="4">
        <v>2022</v>
      </c>
      <c r="B10">
        <v>113.41999999999999</v>
      </c>
    </row>
    <row r="11" spans="1:2" x14ac:dyDescent="0.2">
      <c r="A11" s="4">
        <v>2023</v>
      </c>
      <c r="B11">
        <v>151.53</v>
      </c>
    </row>
    <row r="12" spans="1:2" x14ac:dyDescent="0.2">
      <c r="A12" s="4">
        <v>2024</v>
      </c>
      <c r="B12">
        <v>108.42999999999998</v>
      </c>
    </row>
    <row r="13" spans="1:2" x14ac:dyDescent="0.2">
      <c r="A13" s="4">
        <v>2025</v>
      </c>
      <c r="B13">
        <v>128.54999999999998</v>
      </c>
    </row>
    <row r="14" spans="1:2" x14ac:dyDescent="0.2">
      <c r="A14" s="4">
        <v>2026</v>
      </c>
      <c r="B14">
        <v>107.11</v>
      </c>
    </row>
    <row r="15" spans="1:2" x14ac:dyDescent="0.2">
      <c r="A15" s="4" t="s">
        <v>54</v>
      </c>
      <c r="B15">
        <v>1263.2399999999998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80E3B-8CE3-49DF-A4CE-BD1B18861982}">
  <dimension ref="A3:B15"/>
  <sheetViews>
    <sheetView workbookViewId="0">
      <selection activeCell="J12" sqref="J12"/>
    </sheetView>
  </sheetViews>
  <sheetFormatPr defaultRowHeight="15" x14ac:dyDescent="0.2"/>
  <cols>
    <col min="1" max="1" width="13.1796875" bestFit="1" customWidth="1"/>
    <col min="2" max="3" width="29.32421875" bestFit="1" customWidth="1"/>
  </cols>
  <sheetData>
    <row r="3" spans="1:2" x14ac:dyDescent="0.2">
      <c r="A3" s="3" t="s">
        <v>53</v>
      </c>
      <c r="B3" t="s">
        <v>65</v>
      </c>
    </row>
    <row r="4" spans="1:2" x14ac:dyDescent="0.2">
      <c r="A4" s="4">
        <v>2016</v>
      </c>
      <c r="B4">
        <v>68.009999999999991</v>
      </c>
    </row>
    <row r="5" spans="1:2" x14ac:dyDescent="0.2">
      <c r="A5" s="4">
        <v>2017</v>
      </c>
      <c r="B5">
        <v>61.339999999999996</v>
      </c>
    </row>
    <row r="6" spans="1:2" x14ac:dyDescent="0.2">
      <c r="A6" s="4">
        <v>2018</v>
      </c>
      <c r="B6">
        <v>83.86999999999999</v>
      </c>
    </row>
    <row r="7" spans="1:2" x14ac:dyDescent="0.2">
      <c r="A7" s="4">
        <v>2019</v>
      </c>
      <c r="B7">
        <v>14.119999999999997</v>
      </c>
    </row>
    <row r="8" spans="1:2" x14ac:dyDescent="0.2">
      <c r="A8" s="4">
        <v>2020</v>
      </c>
      <c r="B8">
        <v>56.19</v>
      </c>
    </row>
    <row r="9" spans="1:2" x14ac:dyDescent="0.2">
      <c r="A9" s="4">
        <v>2021</v>
      </c>
      <c r="B9">
        <v>76.209999999999994</v>
      </c>
    </row>
    <row r="10" spans="1:2" x14ac:dyDescent="0.2">
      <c r="A10" s="4">
        <v>2022</v>
      </c>
      <c r="B10">
        <v>67.400000000000006</v>
      </c>
    </row>
    <row r="11" spans="1:2" x14ac:dyDescent="0.2">
      <c r="A11" s="4">
        <v>2023</v>
      </c>
      <c r="B11">
        <v>63.970000000000006</v>
      </c>
    </row>
    <row r="12" spans="1:2" x14ac:dyDescent="0.2">
      <c r="A12" s="4">
        <v>2024</v>
      </c>
      <c r="B12">
        <v>38.08</v>
      </c>
    </row>
    <row r="13" spans="1:2" x14ac:dyDescent="0.2">
      <c r="A13" s="4">
        <v>2025</v>
      </c>
      <c r="B13">
        <v>32.160000000000004</v>
      </c>
    </row>
    <row r="14" spans="1:2" x14ac:dyDescent="0.2">
      <c r="A14" s="4">
        <v>2026</v>
      </c>
      <c r="B14">
        <v>76.490000000000009</v>
      </c>
    </row>
    <row r="15" spans="1:2" x14ac:dyDescent="0.2">
      <c r="A15" s="4" t="s">
        <v>54</v>
      </c>
      <c r="B15">
        <v>637.84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3"/>
  <sheetViews>
    <sheetView topLeftCell="AK1" zoomScale="81" workbookViewId="0"/>
  </sheetViews>
  <sheetFormatPr defaultRowHeight="15" x14ac:dyDescent="0.2"/>
  <cols>
    <col min="1" max="1" width="9.01171875" customWidth="1"/>
    <col min="2" max="2" width="13.98828125" customWidth="1"/>
    <col min="3" max="3" width="23" customWidth="1"/>
    <col min="4" max="4" width="34.97265625" customWidth="1"/>
    <col min="5" max="5" width="25.01953125" customWidth="1"/>
    <col min="6" max="6" width="23" customWidth="1"/>
    <col min="7" max="7" width="29.99609375" customWidth="1"/>
    <col min="8" max="8" width="22.05859375" customWidth="1"/>
    <col min="9" max="9" width="20.04296875" customWidth="1"/>
    <col min="10" max="10" width="27.0390625" customWidth="1"/>
    <col min="11" max="11" width="25.01953125" customWidth="1"/>
    <col min="12" max="12" width="34.97265625" customWidth="1"/>
    <col min="13" max="13" width="23.9453125" customWidth="1"/>
    <col min="14" max="14" width="30.9375" customWidth="1"/>
    <col min="15" max="15" width="34.97265625" customWidth="1"/>
    <col min="16" max="16" width="27.98046875" customWidth="1"/>
    <col min="17" max="17" width="18.0234375" customWidth="1"/>
    <col min="18" max="18" width="25.9609375" customWidth="1"/>
  </cols>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v>2016</v>
      </c>
      <c r="B2" t="s">
        <v>18</v>
      </c>
      <c r="C2">
        <v>11.37</v>
      </c>
      <c r="D2">
        <v>1.6</v>
      </c>
      <c r="E2">
        <v>5.6</v>
      </c>
      <c r="F2">
        <v>1.1499999999999999</v>
      </c>
      <c r="G2">
        <v>71.150000000000006</v>
      </c>
      <c r="H2" t="s">
        <v>19</v>
      </c>
      <c r="I2">
        <v>1.47</v>
      </c>
      <c r="J2">
        <v>8.43</v>
      </c>
      <c r="K2">
        <v>1</v>
      </c>
      <c r="L2">
        <v>6.05</v>
      </c>
      <c r="M2" t="s">
        <v>20</v>
      </c>
      <c r="N2" t="s">
        <v>21</v>
      </c>
      <c r="O2">
        <v>462.01</v>
      </c>
      <c r="P2">
        <v>146.27000000000001</v>
      </c>
      <c r="Q2" t="s">
        <v>22</v>
      </c>
      <c r="R2" t="s">
        <v>23</v>
      </c>
    </row>
    <row r="3" spans="1:18" x14ac:dyDescent="0.2">
      <c r="A3">
        <v>2016</v>
      </c>
      <c r="B3" t="s">
        <v>24</v>
      </c>
      <c r="C3">
        <v>6.51</v>
      </c>
      <c r="D3">
        <v>1.61</v>
      </c>
      <c r="E3">
        <v>4.07</v>
      </c>
      <c r="F3">
        <v>2.04</v>
      </c>
      <c r="G3">
        <v>92.36</v>
      </c>
      <c r="H3" t="s">
        <v>25</v>
      </c>
      <c r="I3">
        <v>6.65</v>
      </c>
      <c r="J3">
        <v>14.58</v>
      </c>
      <c r="K3">
        <v>8</v>
      </c>
      <c r="L3">
        <v>4.12</v>
      </c>
      <c r="M3" t="s">
        <v>26</v>
      </c>
      <c r="N3" t="s">
        <v>27</v>
      </c>
      <c r="O3">
        <v>637.32000000000005</v>
      </c>
      <c r="P3">
        <v>106.68</v>
      </c>
      <c r="Q3" t="s">
        <v>25</v>
      </c>
      <c r="R3" t="s">
        <v>28</v>
      </c>
    </row>
    <row r="4" spans="1:18" x14ac:dyDescent="0.2">
      <c r="A4">
        <v>2016</v>
      </c>
      <c r="B4" t="s">
        <v>29</v>
      </c>
      <c r="C4">
        <v>5</v>
      </c>
      <c r="D4">
        <v>1.62</v>
      </c>
      <c r="E4">
        <v>16.96</v>
      </c>
      <c r="F4">
        <v>0.28999999999999998</v>
      </c>
      <c r="G4">
        <v>67.819999999999993</v>
      </c>
      <c r="H4" t="s">
        <v>30</v>
      </c>
      <c r="I4">
        <v>2.2000000000000002</v>
      </c>
      <c r="J4">
        <v>0.31</v>
      </c>
      <c r="K4">
        <v>13</v>
      </c>
      <c r="L4">
        <v>18.579999999999998</v>
      </c>
      <c r="M4" t="s">
        <v>31</v>
      </c>
      <c r="N4" t="s">
        <v>32</v>
      </c>
      <c r="O4">
        <v>2907.58</v>
      </c>
      <c r="P4">
        <v>111.12</v>
      </c>
      <c r="Q4" t="s">
        <v>19</v>
      </c>
      <c r="R4" t="s">
        <v>33</v>
      </c>
    </row>
    <row r="5" spans="1:18" x14ac:dyDescent="0.2">
      <c r="A5">
        <v>2016</v>
      </c>
      <c r="B5" t="s">
        <v>34</v>
      </c>
      <c r="C5">
        <v>14.61</v>
      </c>
      <c r="D5">
        <v>1.63</v>
      </c>
      <c r="E5">
        <v>8.82</v>
      </c>
      <c r="F5">
        <v>1.35</v>
      </c>
      <c r="G5">
        <v>93.76</v>
      </c>
      <c r="H5" t="s">
        <v>25</v>
      </c>
      <c r="I5">
        <v>5.7</v>
      </c>
      <c r="J5">
        <v>11.44</v>
      </c>
      <c r="K5">
        <v>13</v>
      </c>
      <c r="L5">
        <v>9.39</v>
      </c>
      <c r="M5" t="s">
        <v>35</v>
      </c>
      <c r="N5" t="s">
        <v>36</v>
      </c>
      <c r="O5">
        <v>2017.44</v>
      </c>
      <c r="P5">
        <v>130.69999999999999</v>
      </c>
      <c r="Q5" t="s">
        <v>30</v>
      </c>
      <c r="R5" t="s">
        <v>37</v>
      </c>
    </row>
    <row r="6" spans="1:18" x14ac:dyDescent="0.2">
      <c r="A6">
        <v>2016</v>
      </c>
      <c r="B6" t="s">
        <v>38</v>
      </c>
      <c r="C6">
        <v>6.37</v>
      </c>
      <c r="D6">
        <v>1.64</v>
      </c>
      <c r="E6">
        <v>3.34</v>
      </c>
      <c r="F6">
        <v>2.2799999999999998</v>
      </c>
      <c r="G6">
        <v>75.91</v>
      </c>
      <c r="H6" t="s">
        <v>39</v>
      </c>
      <c r="I6">
        <v>6.67</v>
      </c>
      <c r="J6">
        <v>-1.1499999999999999</v>
      </c>
      <c r="K6">
        <v>5</v>
      </c>
      <c r="L6">
        <v>3.75</v>
      </c>
      <c r="M6" t="s">
        <v>40</v>
      </c>
      <c r="N6" t="s">
        <v>41</v>
      </c>
      <c r="O6">
        <v>1924.49</v>
      </c>
      <c r="P6">
        <v>106.14</v>
      </c>
      <c r="Q6" t="s">
        <v>39</v>
      </c>
      <c r="R6" t="s">
        <v>28</v>
      </c>
    </row>
    <row r="7" spans="1:18" x14ac:dyDescent="0.2">
      <c r="A7">
        <v>2016</v>
      </c>
      <c r="B7" t="s">
        <v>42</v>
      </c>
      <c r="C7">
        <v>17.43</v>
      </c>
      <c r="D7">
        <v>1.65</v>
      </c>
      <c r="E7">
        <v>4.4000000000000004</v>
      </c>
      <c r="F7">
        <v>0.42</v>
      </c>
      <c r="G7">
        <v>64.13</v>
      </c>
      <c r="H7" t="s">
        <v>22</v>
      </c>
      <c r="I7">
        <v>2.6</v>
      </c>
      <c r="J7">
        <v>0.55000000000000004</v>
      </c>
      <c r="K7">
        <v>4</v>
      </c>
      <c r="L7">
        <v>5.17</v>
      </c>
      <c r="M7" t="s">
        <v>40</v>
      </c>
      <c r="N7" t="s">
        <v>27</v>
      </c>
      <c r="O7">
        <v>1292.82</v>
      </c>
      <c r="P7">
        <v>103.34</v>
      </c>
      <c r="Q7" t="s">
        <v>19</v>
      </c>
      <c r="R7" t="s">
        <v>43</v>
      </c>
    </row>
    <row r="8" spans="1:18" x14ac:dyDescent="0.2">
      <c r="A8">
        <v>2016</v>
      </c>
      <c r="B8" t="s">
        <v>44</v>
      </c>
      <c r="C8">
        <v>4.08</v>
      </c>
      <c r="D8">
        <v>1.66</v>
      </c>
      <c r="E8">
        <v>14.35</v>
      </c>
      <c r="F8">
        <v>0.73</v>
      </c>
      <c r="G8">
        <v>97.85</v>
      </c>
      <c r="H8" t="s">
        <v>25</v>
      </c>
      <c r="I8">
        <v>2.8</v>
      </c>
      <c r="J8">
        <v>7.22</v>
      </c>
      <c r="K8">
        <v>8</v>
      </c>
      <c r="L8">
        <v>14.92</v>
      </c>
      <c r="M8" t="s">
        <v>31</v>
      </c>
      <c r="N8" t="s">
        <v>32</v>
      </c>
      <c r="O8">
        <v>2310.21</v>
      </c>
      <c r="P8">
        <v>100.64</v>
      </c>
      <c r="Q8" t="s">
        <v>39</v>
      </c>
      <c r="R8" t="s">
        <v>43</v>
      </c>
    </row>
    <row r="9" spans="1:18" x14ac:dyDescent="0.2">
      <c r="A9">
        <v>2016</v>
      </c>
      <c r="B9" t="s">
        <v>45</v>
      </c>
      <c r="C9">
        <v>10.94</v>
      </c>
      <c r="D9">
        <v>1.67</v>
      </c>
      <c r="E9">
        <v>17.34</v>
      </c>
      <c r="F9">
        <v>1.31</v>
      </c>
      <c r="G9">
        <v>73.5</v>
      </c>
      <c r="H9" t="s">
        <v>30</v>
      </c>
      <c r="I9">
        <v>1.7</v>
      </c>
      <c r="J9">
        <v>6.01</v>
      </c>
      <c r="K9">
        <v>15</v>
      </c>
      <c r="L9">
        <v>18.88</v>
      </c>
      <c r="M9" t="s">
        <v>20</v>
      </c>
      <c r="N9" t="s">
        <v>36</v>
      </c>
      <c r="O9">
        <v>2485.71</v>
      </c>
      <c r="P9">
        <v>123.45</v>
      </c>
      <c r="Q9" t="s">
        <v>19</v>
      </c>
      <c r="R9" t="s">
        <v>37</v>
      </c>
    </row>
    <row r="10" spans="1:18" x14ac:dyDescent="0.2">
      <c r="A10">
        <v>2016</v>
      </c>
      <c r="B10" t="s">
        <v>46</v>
      </c>
      <c r="C10">
        <v>17.95</v>
      </c>
      <c r="D10">
        <v>1.68</v>
      </c>
      <c r="E10">
        <v>14.83</v>
      </c>
      <c r="F10">
        <v>0.79</v>
      </c>
      <c r="G10">
        <v>88.54</v>
      </c>
      <c r="H10" t="s">
        <v>22</v>
      </c>
      <c r="I10">
        <v>6.85</v>
      </c>
      <c r="J10">
        <v>0.13</v>
      </c>
      <c r="K10">
        <v>11</v>
      </c>
      <c r="L10">
        <v>16.920000000000002</v>
      </c>
      <c r="M10" t="s">
        <v>40</v>
      </c>
      <c r="N10" t="s">
        <v>32</v>
      </c>
      <c r="O10">
        <v>2869.42</v>
      </c>
      <c r="P10">
        <v>93.41</v>
      </c>
      <c r="Q10" t="s">
        <v>25</v>
      </c>
      <c r="R10" t="s">
        <v>43</v>
      </c>
    </row>
    <row r="11" spans="1:18" x14ac:dyDescent="0.2">
      <c r="A11">
        <v>2016</v>
      </c>
      <c r="B11" t="s">
        <v>47</v>
      </c>
      <c r="C11">
        <v>6.92</v>
      </c>
      <c r="D11">
        <v>1.69</v>
      </c>
      <c r="E11">
        <v>10.88</v>
      </c>
      <c r="F11">
        <v>1.79</v>
      </c>
      <c r="G11">
        <v>65.739999999999995</v>
      </c>
      <c r="H11" t="s">
        <v>30</v>
      </c>
      <c r="I11">
        <v>2.38</v>
      </c>
      <c r="J11">
        <v>13.47</v>
      </c>
      <c r="K11">
        <v>12</v>
      </c>
      <c r="L11">
        <v>10.3</v>
      </c>
      <c r="M11" t="s">
        <v>31</v>
      </c>
      <c r="N11" t="s">
        <v>41</v>
      </c>
      <c r="O11">
        <v>686.05</v>
      </c>
      <c r="P11">
        <v>139.55000000000001</v>
      </c>
      <c r="Q11" t="s">
        <v>19</v>
      </c>
      <c r="R11" t="s">
        <v>48</v>
      </c>
    </row>
    <row r="12" spans="1:18" x14ac:dyDescent="0.2">
      <c r="A12">
        <v>2016</v>
      </c>
      <c r="B12" t="s">
        <v>49</v>
      </c>
      <c r="C12">
        <v>5.09</v>
      </c>
      <c r="D12">
        <v>1.7</v>
      </c>
      <c r="E12">
        <v>10.95</v>
      </c>
      <c r="F12">
        <v>0.81</v>
      </c>
      <c r="G12">
        <v>74.23</v>
      </c>
      <c r="H12" t="s">
        <v>39</v>
      </c>
      <c r="I12">
        <v>4.8099999999999996</v>
      </c>
      <c r="J12">
        <v>-3.5</v>
      </c>
      <c r="K12">
        <v>12</v>
      </c>
      <c r="L12">
        <v>12.95</v>
      </c>
      <c r="M12" t="s">
        <v>35</v>
      </c>
      <c r="N12" t="s">
        <v>41</v>
      </c>
      <c r="O12">
        <v>1315.63</v>
      </c>
      <c r="P12">
        <v>127.39</v>
      </c>
      <c r="Q12" t="s">
        <v>19</v>
      </c>
      <c r="R12" t="s">
        <v>28</v>
      </c>
    </row>
    <row r="13" spans="1:18" x14ac:dyDescent="0.2">
      <c r="A13">
        <v>2016</v>
      </c>
      <c r="B13" t="s">
        <v>50</v>
      </c>
      <c r="C13">
        <v>5.29</v>
      </c>
      <c r="D13">
        <v>1.71</v>
      </c>
      <c r="E13">
        <v>14.48</v>
      </c>
      <c r="F13">
        <v>2.19</v>
      </c>
      <c r="G13">
        <v>77.34</v>
      </c>
      <c r="H13" t="s">
        <v>22</v>
      </c>
      <c r="I13">
        <v>4.4800000000000004</v>
      </c>
      <c r="J13">
        <v>10.52</v>
      </c>
      <c r="K13">
        <v>8</v>
      </c>
      <c r="L13">
        <v>13.22</v>
      </c>
      <c r="M13" t="s">
        <v>35</v>
      </c>
      <c r="N13" t="s">
        <v>51</v>
      </c>
      <c r="O13">
        <v>1256.6500000000001</v>
      </c>
      <c r="P13">
        <v>101.38</v>
      </c>
      <c r="Q13" t="s">
        <v>39</v>
      </c>
      <c r="R13" t="s">
        <v>23</v>
      </c>
    </row>
    <row r="14" spans="1:18" x14ac:dyDescent="0.2">
      <c r="A14">
        <v>2017</v>
      </c>
      <c r="B14" t="s">
        <v>18</v>
      </c>
      <c r="C14">
        <v>16.14</v>
      </c>
      <c r="D14">
        <v>1.78</v>
      </c>
      <c r="E14">
        <v>16.55</v>
      </c>
      <c r="F14">
        <v>1.03</v>
      </c>
      <c r="G14">
        <v>97.31</v>
      </c>
      <c r="H14" t="s">
        <v>30</v>
      </c>
      <c r="I14">
        <v>6.29</v>
      </c>
      <c r="J14">
        <v>-0.24</v>
      </c>
      <c r="K14">
        <v>12</v>
      </c>
      <c r="L14">
        <v>16.489999999999998</v>
      </c>
      <c r="M14" t="s">
        <v>26</v>
      </c>
      <c r="N14" t="s">
        <v>41</v>
      </c>
      <c r="O14">
        <v>857.64</v>
      </c>
      <c r="P14">
        <v>175.95</v>
      </c>
      <c r="Q14" t="s">
        <v>39</v>
      </c>
      <c r="R14" t="s">
        <v>23</v>
      </c>
    </row>
    <row r="15" spans="1:18" x14ac:dyDescent="0.2">
      <c r="A15">
        <v>2017</v>
      </c>
      <c r="B15" t="s">
        <v>24</v>
      </c>
      <c r="C15">
        <v>13.54</v>
      </c>
      <c r="D15">
        <v>1.79</v>
      </c>
      <c r="E15">
        <v>13.48</v>
      </c>
      <c r="F15">
        <v>0.18</v>
      </c>
      <c r="G15">
        <v>87.58</v>
      </c>
      <c r="H15" t="s">
        <v>39</v>
      </c>
      <c r="I15">
        <v>3.33</v>
      </c>
      <c r="J15">
        <v>11.94</v>
      </c>
      <c r="K15">
        <v>4</v>
      </c>
      <c r="L15">
        <v>13.92</v>
      </c>
      <c r="M15" t="s">
        <v>20</v>
      </c>
      <c r="N15" t="s">
        <v>21</v>
      </c>
      <c r="O15">
        <v>203.3</v>
      </c>
      <c r="P15">
        <v>128.65</v>
      </c>
      <c r="Q15" t="s">
        <v>22</v>
      </c>
      <c r="R15" t="s">
        <v>23</v>
      </c>
    </row>
    <row r="16" spans="1:18" x14ac:dyDescent="0.2">
      <c r="A16">
        <v>2017</v>
      </c>
      <c r="B16" t="s">
        <v>29</v>
      </c>
      <c r="C16">
        <v>3.86</v>
      </c>
      <c r="D16">
        <v>1.8</v>
      </c>
      <c r="E16">
        <v>13.78</v>
      </c>
      <c r="F16">
        <v>2.23</v>
      </c>
      <c r="G16">
        <v>67.349999999999994</v>
      </c>
      <c r="H16" t="s">
        <v>22</v>
      </c>
      <c r="I16">
        <v>5.23</v>
      </c>
      <c r="J16">
        <v>-4.8099999999999996</v>
      </c>
      <c r="K16">
        <v>11</v>
      </c>
      <c r="L16">
        <v>12.22</v>
      </c>
      <c r="M16" t="s">
        <v>26</v>
      </c>
      <c r="N16" t="s">
        <v>32</v>
      </c>
      <c r="O16">
        <v>2995.98</v>
      </c>
      <c r="P16">
        <v>174.74</v>
      </c>
      <c r="Q16" t="s">
        <v>19</v>
      </c>
      <c r="R16" t="s">
        <v>23</v>
      </c>
    </row>
    <row r="17" spans="1:18" x14ac:dyDescent="0.2">
      <c r="A17">
        <v>2017</v>
      </c>
      <c r="B17" t="s">
        <v>34</v>
      </c>
      <c r="C17">
        <v>6.96</v>
      </c>
      <c r="D17">
        <v>1.81</v>
      </c>
      <c r="E17">
        <v>11.31</v>
      </c>
      <c r="F17">
        <v>0.51</v>
      </c>
      <c r="G17">
        <v>62.55</v>
      </c>
      <c r="H17" t="s">
        <v>25</v>
      </c>
      <c r="I17">
        <v>5.79</v>
      </c>
      <c r="J17">
        <v>10.130000000000001</v>
      </c>
      <c r="K17">
        <v>6</v>
      </c>
      <c r="L17">
        <v>12.59</v>
      </c>
      <c r="M17" t="s">
        <v>40</v>
      </c>
      <c r="N17" t="s">
        <v>27</v>
      </c>
      <c r="O17">
        <v>1302.8699999999999</v>
      </c>
      <c r="P17">
        <v>162.74</v>
      </c>
      <c r="Q17" t="s">
        <v>39</v>
      </c>
      <c r="R17" t="s">
        <v>33</v>
      </c>
    </row>
    <row r="18" spans="1:18" x14ac:dyDescent="0.2">
      <c r="A18">
        <v>2017</v>
      </c>
      <c r="B18" t="s">
        <v>38</v>
      </c>
      <c r="C18">
        <v>16.170000000000002</v>
      </c>
      <c r="D18">
        <v>1.82</v>
      </c>
      <c r="E18">
        <v>4.9000000000000004</v>
      </c>
      <c r="F18">
        <v>1.05</v>
      </c>
      <c r="G18">
        <v>93.5</v>
      </c>
      <c r="H18" t="s">
        <v>25</v>
      </c>
      <c r="I18">
        <v>1.05</v>
      </c>
      <c r="J18">
        <v>12.29</v>
      </c>
      <c r="K18">
        <v>9</v>
      </c>
      <c r="L18">
        <v>4.97</v>
      </c>
      <c r="M18" t="s">
        <v>31</v>
      </c>
      <c r="N18" t="s">
        <v>51</v>
      </c>
      <c r="O18">
        <v>702.19</v>
      </c>
      <c r="P18">
        <v>127.95</v>
      </c>
      <c r="Q18" t="s">
        <v>30</v>
      </c>
      <c r="R18" t="s">
        <v>28</v>
      </c>
    </row>
    <row r="19" spans="1:18" x14ac:dyDescent="0.2">
      <c r="A19">
        <v>2017</v>
      </c>
      <c r="B19" t="s">
        <v>42</v>
      </c>
      <c r="C19">
        <v>4.75</v>
      </c>
      <c r="D19">
        <v>1.83</v>
      </c>
      <c r="E19">
        <v>13.04</v>
      </c>
      <c r="F19">
        <v>0.5</v>
      </c>
      <c r="G19">
        <v>91.53</v>
      </c>
      <c r="H19" t="s">
        <v>39</v>
      </c>
      <c r="I19">
        <v>7</v>
      </c>
      <c r="J19">
        <v>-1.41</v>
      </c>
      <c r="K19">
        <v>4</v>
      </c>
      <c r="L19">
        <v>13.49</v>
      </c>
      <c r="M19" t="s">
        <v>20</v>
      </c>
      <c r="N19" t="s">
        <v>51</v>
      </c>
      <c r="O19">
        <v>1956.65</v>
      </c>
      <c r="P19">
        <v>155.41999999999999</v>
      </c>
      <c r="Q19" t="s">
        <v>39</v>
      </c>
      <c r="R19" t="s">
        <v>33</v>
      </c>
    </row>
    <row r="20" spans="1:18" x14ac:dyDescent="0.2">
      <c r="A20">
        <v>2017</v>
      </c>
      <c r="B20" t="s">
        <v>44</v>
      </c>
      <c r="C20">
        <v>9.26</v>
      </c>
      <c r="D20">
        <v>1.84</v>
      </c>
      <c r="E20">
        <v>1.7</v>
      </c>
      <c r="F20">
        <v>0.73</v>
      </c>
      <c r="G20">
        <v>85.42</v>
      </c>
      <c r="H20" t="s">
        <v>25</v>
      </c>
      <c r="I20">
        <v>3.28</v>
      </c>
      <c r="J20">
        <v>-1.33</v>
      </c>
      <c r="K20">
        <v>10</v>
      </c>
      <c r="L20">
        <v>2.1</v>
      </c>
      <c r="M20" t="s">
        <v>20</v>
      </c>
      <c r="N20" t="s">
        <v>21</v>
      </c>
      <c r="O20">
        <v>860.25</v>
      </c>
      <c r="P20">
        <v>123.87</v>
      </c>
      <c r="Q20" t="s">
        <v>25</v>
      </c>
      <c r="R20" t="s">
        <v>23</v>
      </c>
    </row>
    <row r="21" spans="1:18" x14ac:dyDescent="0.2">
      <c r="A21">
        <v>2017</v>
      </c>
      <c r="B21" t="s">
        <v>45</v>
      </c>
      <c r="C21">
        <v>10.41</v>
      </c>
      <c r="D21">
        <v>1.85</v>
      </c>
      <c r="E21">
        <v>6.23</v>
      </c>
      <c r="F21">
        <v>0.13</v>
      </c>
      <c r="G21">
        <v>60.43</v>
      </c>
      <c r="H21" t="s">
        <v>39</v>
      </c>
      <c r="I21">
        <v>1.05</v>
      </c>
      <c r="J21">
        <v>0.32</v>
      </c>
      <c r="K21">
        <v>15</v>
      </c>
      <c r="L21">
        <v>7.81</v>
      </c>
      <c r="M21" t="s">
        <v>40</v>
      </c>
      <c r="N21" t="s">
        <v>41</v>
      </c>
      <c r="O21">
        <v>2173.04</v>
      </c>
      <c r="P21">
        <v>119.68</v>
      </c>
      <c r="Q21" t="s">
        <v>39</v>
      </c>
      <c r="R21" t="s">
        <v>23</v>
      </c>
    </row>
    <row r="22" spans="1:18" x14ac:dyDescent="0.2">
      <c r="A22">
        <v>2017</v>
      </c>
      <c r="B22" t="s">
        <v>46</v>
      </c>
      <c r="C22">
        <v>15.75</v>
      </c>
      <c r="D22">
        <v>1.86</v>
      </c>
      <c r="E22">
        <v>3.85</v>
      </c>
      <c r="F22">
        <v>1.1000000000000001</v>
      </c>
      <c r="G22">
        <v>86.75</v>
      </c>
      <c r="H22" t="s">
        <v>19</v>
      </c>
      <c r="I22">
        <v>7.31</v>
      </c>
      <c r="J22">
        <v>9.61</v>
      </c>
      <c r="K22">
        <v>4</v>
      </c>
      <c r="L22">
        <v>4.97</v>
      </c>
      <c r="M22" t="s">
        <v>20</v>
      </c>
      <c r="N22" t="s">
        <v>41</v>
      </c>
      <c r="O22">
        <v>2802.29</v>
      </c>
      <c r="P22">
        <v>153.22</v>
      </c>
      <c r="Q22" t="s">
        <v>30</v>
      </c>
      <c r="R22" t="s">
        <v>28</v>
      </c>
    </row>
    <row r="23" spans="1:18" x14ac:dyDescent="0.2">
      <c r="A23">
        <v>2017</v>
      </c>
      <c r="B23" t="s">
        <v>47</v>
      </c>
      <c r="C23">
        <v>14.9</v>
      </c>
      <c r="D23">
        <v>1.87</v>
      </c>
      <c r="E23">
        <v>7.52</v>
      </c>
      <c r="F23">
        <v>2.08</v>
      </c>
      <c r="G23">
        <v>82.71</v>
      </c>
      <c r="H23" t="s">
        <v>25</v>
      </c>
      <c r="I23">
        <v>4.82</v>
      </c>
      <c r="J23">
        <v>4.66</v>
      </c>
      <c r="K23">
        <v>11</v>
      </c>
      <c r="L23">
        <v>6.58</v>
      </c>
      <c r="M23" t="s">
        <v>31</v>
      </c>
      <c r="N23" t="s">
        <v>36</v>
      </c>
      <c r="O23">
        <v>561.03</v>
      </c>
      <c r="P23">
        <v>127.67</v>
      </c>
      <c r="Q23" t="s">
        <v>19</v>
      </c>
      <c r="R23" t="s">
        <v>33</v>
      </c>
    </row>
    <row r="24" spans="1:18" x14ac:dyDescent="0.2">
      <c r="A24">
        <v>2017</v>
      </c>
      <c r="B24" t="s">
        <v>49</v>
      </c>
      <c r="C24">
        <v>8.01</v>
      </c>
      <c r="D24">
        <v>1.88</v>
      </c>
      <c r="E24">
        <v>2.31</v>
      </c>
      <c r="F24">
        <v>1.51</v>
      </c>
      <c r="G24">
        <v>62.32</v>
      </c>
      <c r="H24" t="s">
        <v>19</v>
      </c>
      <c r="I24">
        <v>2.56</v>
      </c>
      <c r="J24">
        <v>10.4</v>
      </c>
      <c r="K24">
        <v>1</v>
      </c>
      <c r="L24">
        <v>2.54</v>
      </c>
      <c r="M24" t="s">
        <v>26</v>
      </c>
      <c r="N24" t="s">
        <v>32</v>
      </c>
      <c r="O24">
        <v>2088.5500000000002</v>
      </c>
      <c r="P24">
        <v>141.74</v>
      </c>
      <c r="Q24" t="s">
        <v>39</v>
      </c>
      <c r="R24" t="s">
        <v>33</v>
      </c>
    </row>
    <row r="25" spans="1:18" x14ac:dyDescent="0.2">
      <c r="A25">
        <v>2017</v>
      </c>
      <c r="B25" t="s">
        <v>50</v>
      </c>
      <c r="C25">
        <v>9.0299999999999994</v>
      </c>
      <c r="D25">
        <v>1.89</v>
      </c>
      <c r="E25">
        <v>5.47</v>
      </c>
      <c r="F25">
        <v>0.48</v>
      </c>
      <c r="G25">
        <v>69.11</v>
      </c>
      <c r="H25" t="s">
        <v>19</v>
      </c>
      <c r="I25">
        <v>1.59</v>
      </c>
      <c r="J25">
        <v>9.7799999999999994</v>
      </c>
      <c r="K25">
        <v>9</v>
      </c>
      <c r="L25">
        <v>7.21</v>
      </c>
      <c r="M25" t="s">
        <v>52</v>
      </c>
      <c r="N25" t="s">
        <v>51</v>
      </c>
      <c r="O25">
        <v>2250.89</v>
      </c>
      <c r="P25">
        <v>180.6</v>
      </c>
      <c r="Q25" t="s">
        <v>30</v>
      </c>
      <c r="R25" t="s">
        <v>37</v>
      </c>
    </row>
    <row r="26" spans="1:18" x14ac:dyDescent="0.2">
      <c r="A26">
        <v>2018</v>
      </c>
      <c r="B26" t="s">
        <v>18</v>
      </c>
      <c r="C26">
        <v>10.050000000000001</v>
      </c>
      <c r="D26">
        <v>1.96</v>
      </c>
      <c r="E26">
        <v>2.29</v>
      </c>
      <c r="F26">
        <v>1.7</v>
      </c>
      <c r="G26">
        <v>90.66</v>
      </c>
      <c r="H26" t="s">
        <v>19</v>
      </c>
      <c r="I26">
        <v>6.61</v>
      </c>
      <c r="J26">
        <v>-2.23</v>
      </c>
      <c r="K26">
        <v>7</v>
      </c>
      <c r="L26">
        <v>3.22</v>
      </c>
      <c r="M26" t="s">
        <v>40</v>
      </c>
      <c r="N26" t="s">
        <v>41</v>
      </c>
      <c r="O26">
        <v>1210.6400000000001</v>
      </c>
      <c r="P26">
        <v>159.51</v>
      </c>
      <c r="Q26" t="s">
        <v>22</v>
      </c>
      <c r="R26" t="s">
        <v>28</v>
      </c>
    </row>
    <row r="27" spans="1:18" x14ac:dyDescent="0.2">
      <c r="A27">
        <v>2018</v>
      </c>
      <c r="B27" t="s">
        <v>24</v>
      </c>
      <c r="C27">
        <v>10.029999999999999</v>
      </c>
      <c r="D27">
        <v>1.97</v>
      </c>
      <c r="E27">
        <v>6.31</v>
      </c>
      <c r="F27">
        <v>0.93</v>
      </c>
      <c r="G27">
        <v>81.72</v>
      </c>
      <c r="H27" t="s">
        <v>22</v>
      </c>
      <c r="I27">
        <v>3.16</v>
      </c>
      <c r="J27">
        <v>-3.26</v>
      </c>
      <c r="K27">
        <v>9</v>
      </c>
      <c r="L27">
        <v>8.2200000000000006</v>
      </c>
      <c r="M27" t="s">
        <v>26</v>
      </c>
      <c r="N27" t="s">
        <v>41</v>
      </c>
      <c r="O27">
        <v>860.45</v>
      </c>
      <c r="P27">
        <v>171.66</v>
      </c>
      <c r="Q27" t="s">
        <v>19</v>
      </c>
      <c r="R27" t="s">
        <v>28</v>
      </c>
    </row>
    <row r="28" spans="1:18" x14ac:dyDescent="0.2">
      <c r="A28">
        <v>2018</v>
      </c>
      <c r="B28" t="s">
        <v>29</v>
      </c>
      <c r="C28">
        <v>5.58</v>
      </c>
      <c r="D28">
        <v>1.98</v>
      </c>
      <c r="E28">
        <v>15.42</v>
      </c>
      <c r="F28">
        <v>1.88</v>
      </c>
      <c r="G28">
        <v>93.97</v>
      </c>
      <c r="H28" t="s">
        <v>30</v>
      </c>
      <c r="I28">
        <v>0.91</v>
      </c>
      <c r="J28">
        <v>10.73</v>
      </c>
      <c r="K28">
        <v>12</v>
      </c>
      <c r="L28">
        <v>16.3</v>
      </c>
      <c r="M28" t="s">
        <v>52</v>
      </c>
      <c r="N28" t="s">
        <v>41</v>
      </c>
      <c r="O28">
        <v>1484.66</v>
      </c>
      <c r="P28">
        <v>180.65</v>
      </c>
      <c r="Q28" t="s">
        <v>19</v>
      </c>
      <c r="R28" t="s">
        <v>48</v>
      </c>
    </row>
    <row r="29" spans="1:18" x14ac:dyDescent="0.2">
      <c r="A29">
        <v>2018</v>
      </c>
      <c r="B29" t="s">
        <v>34</v>
      </c>
      <c r="C29">
        <v>5.3</v>
      </c>
      <c r="D29">
        <v>1.99</v>
      </c>
      <c r="E29">
        <v>12.43</v>
      </c>
      <c r="F29">
        <v>0.32</v>
      </c>
      <c r="G29">
        <v>92.83</v>
      </c>
      <c r="H29" t="s">
        <v>19</v>
      </c>
      <c r="I29">
        <v>6.16</v>
      </c>
      <c r="J29">
        <v>11.85</v>
      </c>
      <c r="K29">
        <v>1</v>
      </c>
      <c r="L29">
        <v>13.93</v>
      </c>
      <c r="M29" t="s">
        <v>20</v>
      </c>
      <c r="N29" t="s">
        <v>51</v>
      </c>
      <c r="O29">
        <v>2515.11</v>
      </c>
      <c r="P29">
        <v>155.19</v>
      </c>
      <c r="Q29" t="s">
        <v>19</v>
      </c>
      <c r="R29" t="s">
        <v>43</v>
      </c>
    </row>
    <row r="30" spans="1:18" x14ac:dyDescent="0.2">
      <c r="A30">
        <v>2018</v>
      </c>
      <c r="B30" t="s">
        <v>38</v>
      </c>
      <c r="C30">
        <v>9.2200000000000006</v>
      </c>
      <c r="D30">
        <v>2</v>
      </c>
      <c r="E30">
        <v>13.14</v>
      </c>
      <c r="F30">
        <v>0.74</v>
      </c>
      <c r="G30">
        <v>97.22</v>
      </c>
      <c r="H30" t="s">
        <v>30</v>
      </c>
      <c r="I30">
        <v>1.54</v>
      </c>
      <c r="J30">
        <v>11.29</v>
      </c>
      <c r="K30">
        <v>15</v>
      </c>
      <c r="L30">
        <v>14.82</v>
      </c>
      <c r="M30" t="s">
        <v>20</v>
      </c>
      <c r="N30" t="s">
        <v>32</v>
      </c>
      <c r="O30">
        <v>2486.94</v>
      </c>
      <c r="P30">
        <v>161.62</v>
      </c>
      <c r="Q30" t="s">
        <v>25</v>
      </c>
      <c r="R30" t="s">
        <v>23</v>
      </c>
    </row>
    <row r="31" spans="1:18" x14ac:dyDescent="0.2">
      <c r="A31">
        <v>2018</v>
      </c>
      <c r="B31" t="s">
        <v>42</v>
      </c>
      <c r="C31">
        <v>6.58</v>
      </c>
      <c r="D31">
        <v>2.0099999999999998</v>
      </c>
      <c r="E31">
        <v>3.24</v>
      </c>
      <c r="F31">
        <v>1.59</v>
      </c>
      <c r="G31">
        <v>81.91</v>
      </c>
      <c r="H31" t="s">
        <v>19</v>
      </c>
      <c r="I31">
        <v>1.04</v>
      </c>
      <c r="J31">
        <v>6.83</v>
      </c>
      <c r="K31">
        <v>4</v>
      </c>
      <c r="L31">
        <v>4.53</v>
      </c>
      <c r="M31" t="s">
        <v>52</v>
      </c>
      <c r="N31" t="s">
        <v>51</v>
      </c>
      <c r="O31">
        <v>2525.35</v>
      </c>
      <c r="P31">
        <v>146.57</v>
      </c>
      <c r="Q31" t="s">
        <v>22</v>
      </c>
      <c r="R31" t="s">
        <v>43</v>
      </c>
    </row>
    <row r="32" spans="1:18" x14ac:dyDescent="0.2">
      <c r="A32">
        <v>2018</v>
      </c>
      <c r="B32" t="s">
        <v>44</v>
      </c>
      <c r="C32">
        <v>13.77</v>
      </c>
      <c r="D32">
        <v>2.02</v>
      </c>
      <c r="E32">
        <v>13.09</v>
      </c>
      <c r="F32">
        <v>0.09</v>
      </c>
      <c r="G32">
        <v>64.540000000000006</v>
      </c>
      <c r="H32" t="s">
        <v>39</v>
      </c>
      <c r="I32">
        <v>7.09</v>
      </c>
      <c r="J32">
        <v>12.09</v>
      </c>
      <c r="K32">
        <v>14</v>
      </c>
      <c r="L32">
        <v>16</v>
      </c>
      <c r="M32" t="s">
        <v>26</v>
      </c>
      <c r="N32" t="s">
        <v>51</v>
      </c>
      <c r="O32">
        <v>550.9</v>
      </c>
      <c r="P32">
        <v>189.5</v>
      </c>
      <c r="Q32" t="s">
        <v>30</v>
      </c>
      <c r="R32" t="s">
        <v>48</v>
      </c>
    </row>
    <row r="33" spans="1:18" x14ac:dyDescent="0.2">
      <c r="A33">
        <v>2018</v>
      </c>
      <c r="B33" t="s">
        <v>45</v>
      </c>
      <c r="C33">
        <v>4.12</v>
      </c>
      <c r="D33">
        <v>2.0299999999999998</v>
      </c>
      <c r="E33">
        <v>10.91</v>
      </c>
      <c r="F33">
        <v>1.63</v>
      </c>
      <c r="G33">
        <v>69.97</v>
      </c>
      <c r="H33" t="s">
        <v>22</v>
      </c>
      <c r="I33">
        <v>2.52</v>
      </c>
      <c r="J33">
        <v>14.65</v>
      </c>
      <c r="K33">
        <v>13</v>
      </c>
      <c r="L33">
        <v>11.8</v>
      </c>
      <c r="M33" t="s">
        <v>26</v>
      </c>
      <c r="N33" t="s">
        <v>21</v>
      </c>
      <c r="O33">
        <v>906.77</v>
      </c>
      <c r="P33">
        <v>156.19999999999999</v>
      </c>
      <c r="Q33" t="s">
        <v>22</v>
      </c>
      <c r="R33" t="s">
        <v>23</v>
      </c>
    </row>
    <row r="34" spans="1:18" x14ac:dyDescent="0.2">
      <c r="A34">
        <v>2018</v>
      </c>
      <c r="B34" t="s">
        <v>46</v>
      </c>
      <c r="C34">
        <v>17.399999999999999</v>
      </c>
      <c r="D34">
        <v>2.04</v>
      </c>
      <c r="E34">
        <v>6.26</v>
      </c>
      <c r="F34">
        <v>2.1800000000000002</v>
      </c>
      <c r="G34">
        <v>85.76</v>
      </c>
      <c r="H34" t="s">
        <v>19</v>
      </c>
      <c r="I34">
        <v>3.23</v>
      </c>
      <c r="J34">
        <v>2.62</v>
      </c>
      <c r="K34">
        <v>2</v>
      </c>
      <c r="L34">
        <v>5.49</v>
      </c>
      <c r="M34" t="s">
        <v>20</v>
      </c>
      <c r="N34" t="s">
        <v>41</v>
      </c>
      <c r="O34">
        <v>2578.35</v>
      </c>
      <c r="P34">
        <v>154.44999999999999</v>
      </c>
      <c r="Q34" t="s">
        <v>19</v>
      </c>
      <c r="R34" t="s">
        <v>48</v>
      </c>
    </row>
    <row r="35" spans="1:18" x14ac:dyDescent="0.2">
      <c r="A35">
        <v>2018</v>
      </c>
      <c r="B35" t="s">
        <v>47</v>
      </c>
      <c r="C35">
        <v>16.489999999999998</v>
      </c>
      <c r="D35">
        <v>2.0499999999999998</v>
      </c>
      <c r="E35">
        <v>7.45</v>
      </c>
      <c r="F35">
        <v>1.86</v>
      </c>
      <c r="G35">
        <v>65.31</v>
      </c>
      <c r="H35" t="s">
        <v>19</v>
      </c>
      <c r="I35">
        <v>1.57</v>
      </c>
      <c r="J35">
        <v>7.02</v>
      </c>
      <c r="K35">
        <v>2</v>
      </c>
      <c r="L35">
        <v>7.47</v>
      </c>
      <c r="M35" t="s">
        <v>20</v>
      </c>
      <c r="N35" t="s">
        <v>27</v>
      </c>
      <c r="O35">
        <v>2870.44</v>
      </c>
      <c r="P35">
        <v>161.57</v>
      </c>
      <c r="Q35" t="s">
        <v>39</v>
      </c>
      <c r="R35" t="s">
        <v>48</v>
      </c>
    </row>
    <row r="36" spans="1:18" x14ac:dyDescent="0.2">
      <c r="A36">
        <v>2018</v>
      </c>
      <c r="B36" t="s">
        <v>49</v>
      </c>
      <c r="C36">
        <v>10.11</v>
      </c>
      <c r="D36">
        <v>2.06</v>
      </c>
      <c r="E36">
        <v>3.69</v>
      </c>
      <c r="F36">
        <v>0.93</v>
      </c>
      <c r="G36">
        <v>60.75</v>
      </c>
      <c r="H36" t="s">
        <v>39</v>
      </c>
      <c r="I36">
        <v>4.6900000000000004</v>
      </c>
      <c r="J36">
        <v>12.33</v>
      </c>
      <c r="K36">
        <v>5</v>
      </c>
      <c r="L36">
        <v>3.88</v>
      </c>
      <c r="M36" t="s">
        <v>26</v>
      </c>
      <c r="N36" t="s">
        <v>51</v>
      </c>
      <c r="O36">
        <v>2807.96</v>
      </c>
      <c r="P36">
        <v>192.73</v>
      </c>
      <c r="Q36" t="s">
        <v>22</v>
      </c>
      <c r="R36" t="s">
        <v>28</v>
      </c>
    </row>
    <row r="37" spans="1:18" x14ac:dyDescent="0.2">
      <c r="A37">
        <v>2018</v>
      </c>
      <c r="B37" t="s">
        <v>50</v>
      </c>
      <c r="C37">
        <v>10.7</v>
      </c>
      <c r="D37">
        <v>2.0699999999999998</v>
      </c>
      <c r="E37">
        <v>2.82</v>
      </c>
      <c r="F37">
        <v>1.6</v>
      </c>
      <c r="G37">
        <v>80.08</v>
      </c>
      <c r="H37" t="s">
        <v>19</v>
      </c>
      <c r="I37">
        <v>5.65</v>
      </c>
      <c r="J37">
        <v>-0.05</v>
      </c>
      <c r="K37">
        <v>3</v>
      </c>
      <c r="L37">
        <v>3.01</v>
      </c>
      <c r="M37" t="s">
        <v>35</v>
      </c>
      <c r="N37" t="s">
        <v>32</v>
      </c>
      <c r="O37">
        <v>2843.58</v>
      </c>
      <c r="P37">
        <v>149.11000000000001</v>
      </c>
      <c r="Q37" t="s">
        <v>22</v>
      </c>
      <c r="R37" t="s">
        <v>48</v>
      </c>
    </row>
    <row r="38" spans="1:18" x14ac:dyDescent="0.2">
      <c r="A38">
        <v>2019</v>
      </c>
      <c r="B38" t="s">
        <v>18</v>
      </c>
      <c r="C38">
        <v>9.2100000000000009</v>
      </c>
      <c r="D38">
        <v>2.14</v>
      </c>
      <c r="E38">
        <v>3.87</v>
      </c>
      <c r="F38">
        <v>0.12</v>
      </c>
      <c r="G38">
        <v>62.04</v>
      </c>
      <c r="H38" t="s">
        <v>30</v>
      </c>
      <c r="I38">
        <v>5.4</v>
      </c>
      <c r="J38">
        <v>6.63</v>
      </c>
      <c r="K38">
        <v>1</v>
      </c>
      <c r="L38">
        <v>5.22</v>
      </c>
      <c r="M38" t="s">
        <v>26</v>
      </c>
      <c r="N38" t="s">
        <v>27</v>
      </c>
      <c r="O38">
        <v>860.6</v>
      </c>
      <c r="P38">
        <v>180.26</v>
      </c>
      <c r="Q38" t="s">
        <v>39</v>
      </c>
      <c r="R38" t="s">
        <v>33</v>
      </c>
    </row>
    <row r="39" spans="1:18" x14ac:dyDescent="0.2">
      <c r="A39">
        <v>2019</v>
      </c>
      <c r="B39" t="s">
        <v>24</v>
      </c>
      <c r="C39">
        <v>17.79</v>
      </c>
      <c r="D39">
        <v>2.15</v>
      </c>
      <c r="E39">
        <v>12.18</v>
      </c>
      <c r="F39">
        <v>2.5</v>
      </c>
      <c r="G39">
        <v>93.98</v>
      </c>
      <c r="H39" t="s">
        <v>25</v>
      </c>
      <c r="I39">
        <v>3.78</v>
      </c>
      <c r="J39">
        <v>-3.53</v>
      </c>
      <c r="K39">
        <v>9</v>
      </c>
      <c r="L39">
        <v>11.8</v>
      </c>
      <c r="M39" t="s">
        <v>35</v>
      </c>
      <c r="N39" t="s">
        <v>51</v>
      </c>
      <c r="O39">
        <v>2266.64</v>
      </c>
      <c r="P39">
        <v>222.31</v>
      </c>
      <c r="Q39" t="s">
        <v>39</v>
      </c>
      <c r="R39" t="s">
        <v>48</v>
      </c>
    </row>
    <row r="40" spans="1:18" x14ac:dyDescent="0.2">
      <c r="A40">
        <v>2019</v>
      </c>
      <c r="B40" t="s">
        <v>29</v>
      </c>
      <c r="C40">
        <v>11.11</v>
      </c>
      <c r="D40">
        <v>2.16</v>
      </c>
      <c r="E40">
        <v>1.61</v>
      </c>
      <c r="F40">
        <v>1.22</v>
      </c>
      <c r="G40">
        <v>89.06</v>
      </c>
      <c r="H40" t="s">
        <v>22</v>
      </c>
      <c r="I40">
        <v>5.45</v>
      </c>
      <c r="J40">
        <v>-4.93</v>
      </c>
      <c r="K40">
        <v>14</v>
      </c>
      <c r="L40">
        <v>1.9</v>
      </c>
      <c r="M40" t="s">
        <v>52</v>
      </c>
      <c r="N40" t="s">
        <v>32</v>
      </c>
      <c r="O40">
        <v>2960.24</v>
      </c>
      <c r="P40">
        <v>200.08</v>
      </c>
      <c r="Q40" t="s">
        <v>39</v>
      </c>
      <c r="R40" t="s">
        <v>43</v>
      </c>
    </row>
    <row r="41" spans="1:18" x14ac:dyDescent="0.2">
      <c r="A41">
        <v>2019</v>
      </c>
      <c r="B41" t="s">
        <v>34</v>
      </c>
      <c r="C41">
        <v>6.89</v>
      </c>
      <c r="D41">
        <v>2.17</v>
      </c>
      <c r="E41">
        <v>9.86</v>
      </c>
      <c r="F41">
        <v>2</v>
      </c>
      <c r="G41">
        <v>96.87</v>
      </c>
      <c r="H41" t="s">
        <v>30</v>
      </c>
      <c r="I41">
        <v>4.79</v>
      </c>
      <c r="J41">
        <v>-1.57</v>
      </c>
      <c r="K41">
        <v>8</v>
      </c>
      <c r="L41">
        <v>10.56</v>
      </c>
      <c r="M41" t="s">
        <v>26</v>
      </c>
      <c r="N41" t="s">
        <v>21</v>
      </c>
      <c r="O41">
        <v>466.2</v>
      </c>
      <c r="P41">
        <v>217.17</v>
      </c>
      <c r="Q41" t="s">
        <v>39</v>
      </c>
      <c r="R41" t="s">
        <v>33</v>
      </c>
    </row>
    <row r="42" spans="1:18" x14ac:dyDescent="0.2">
      <c r="A42">
        <v>2019</v>
      </c>
      <c r="B42" t="s">
        <v>38</v>
      </c>
      <c r="C42">
        <v>6.69</v>
      </c>
      <c r="D42">
        <v>2.1800000000000002</v>
      </c>
      <c r="E42">
        <v>4.84</v>
      </c>
      <c r="F42">
        <v>1.03</v>
      </c>
      <c r="G42">
        <v>76.73</v>
      </c>
      <c r="H42" t="s">
        <v>22</v>
      </c>
      <c r="I42">
        <v>3.05</v>
      </c>
      <c r="J42">
        <v>12.03</v>
      </c>
      <c r="K42">
        <v>12</v>
      </c>
      <c r="L42">
        <v>5.44</v>
      </c>
      <c r="M42" t="s">
        <v>52</v>
      </c>
      <c r="N42" t="s">
        <v>51</v>
      </c>
      <c r="O42">
        <v>2617.4899999999998</v>
      </c>
      <c r="P42">
        <v>208.94</v>
      </c>
      <c r="Q42" t="s">
        <v>19</v>
      </c>
      <c r="R42" t="s">
        <v>37</v>
      </c>
    </row>
    <row r="43" spans="1:18" x14ac:dyDescent="0.2">
      <c r="A43">
        <v>2019</v>
      </c>
      <c r="B43" t="s">
        <v>42</v>
      </c>
      <c r="C43">
        <v>10.92</v>
      </c>
      <c r="D43">
        <v>2.19</v>
      </c>
      <c r="E43">
        <v>13.12</v>
      </c>
      <c r="F43">
        <v>0.7</v>
      </c>
      <c r="G43">
        <v>66.87</v>
      </c>
      <c r="H43" t="s">
        <v>30</v>
      </c>
      <c r="I43">
        <v>5.01</v>
      </c>
      <c r="J43">
        <v>5.0199999999999996</v>
      </c>
      <c r="K43">
        <v>1</v>
      </c>
      <c r="L43">
        <v>13.59</v>
      </c>
      <c r="M43" t="s">
        <v>35</v>
      </c>
      <c r="N43" t="s">
        <v>27</v>
      </c>
      <c r="O43">
        <v>2475.64</v>
      </c>
      <c r="P43">
        <v>215.02</v>
      </c>
      <c r="Q43" t="s">
        <v>25</v>
      </c>
      <c r="R43" t="s">
        <v>33</v>
      </c>
    </row>
    <row r="44" spans="1:18" x14ac:dyDescent="0.2">
      <c r="A44">
        <v>2019</v>
      </c>
      <c r="B44" t="s">
        <v>44</v>
      </c>
      <c r="C44">
        <v>4.76</v>
      </c>
      <c r="D44">
        <v>2.2000000000000002</v>
      </c>
      <c r="E44">
        <v>15.76</v>
      </c>
      <c r="F44">
        <v>0.12</v>
      </c>
      <c r="G44">
        <v>77.489999999999995</v>
      </c>
      <c r="H44" t="s">
        <v>22</v>
      </c>
      <c r="I44">
        <v>4.57</v>
      </c>
      <c r="J44">
        <v>-2.09</v>
      </c>
      <c r="K44">
        <v>3</v>
      </c>
      <c r="L44">
        <v>16.66</v>
      </c>
      <c r="M44" t="s">
        <v>31</v>
      </c>
      <c r="N44" t="s">
        <v>21</v>
      </c>
      <c r="O44">
        <v>934.04</v>
      </c>
      <c r="P44">
        <v>200.12</v>
      </c>
      <c r="Q44" t="s">
        <v>25</v>
      </c>
      <c r="R44" t="s">
        <v>23</v>
      </c>
    </row>
    <row r="45" spans="1:18" x14ac:dyDescent="0.2">
      <c r="A45">
        <v>2019</v>
      </c>
      <c r="B45" t="s">
        <v>45</v>
      </c>
      <c r="C45">
        <v>11.67</v>
      </c>
      <c r="D45">
        <v>2.21</v>
      </c>
      <c r="E45">
        <v>2.5</v>
      </c>
      <c r="F45">
        <v>1.78</v>
      </c>
      <c r="G45">
        <v>60.95</v>
      </c>
      <c r="H45" t="s">
        <v>39</v>
      </c>
      <c r="I45">
        <v>7.25</v>
      </c>
      <c r="J45">
        <v>-3.57</v>
      </c>
      <c r="K45">
        <v>4</v>
      </c>
      <c r="L45">
        <v>3.56</v>
      </c>
      <c r="M45" t="s">
        <v>52</v>
      </c>
      <c r="N45" t="s">
        <v>36</v>
      </c>
      <c r="O45">
        <v>2295</v>
      </c>
      <c r="P45">
        <v>210.12</v>
      </c>
      <c r="Q45" t="s">
        <v>30</v>
      </c>
      <c r="R45" t="s">
        <v>43</v>
      </c>
    </row>
    <row r="46" spans="1:18" x14ac:dyDescent="0.2">
      <c r="A46">
        <v>2019</v>
      </c>
      <c r="B46" t="s">
        <v>46</v>
      </c>
      <c r="C46">
        <v>16.079999999999998</v>
      </c>
      <c r="D46">
        <v>2.2200000000000002</v>
      </c>
      <c r="E46">
        <v>15.49</v>
      </c>
      <c r="F46">
        <v>1.47</v>
      </c>
      <c r="G46">
        <v>95.98</v>
      </c>
      <c r="H46" t="s">
        <v>25</v>
      </c>
      <c r="I46">
        <v>6.88</v>
      </c>
      <c r="J46">
        <v>-3.95</v>
      </c>
      <c r="K46">
        <v>7</v>
      </c>
      <c r="L46">
        <v>15.94</v>
      </c>
      <c r="M46" t="s">
        <v>31</v>
      </c>
      <c r="N46" t="s">
        <v>32</v>
      </c>
      <c r="O46">
        <v>496.91</v>
      </c>
      <c r="P46">
        <v>194.04</v>
      </c>
      <c r="Q46" t="s">
        <v>39</v>
      </c>
      <c r="R46" t="s">
        <v>23</v>
      </c>
    </row>
    <row r="47" spans="1:18" x14ac:dyDescent="0.2">
      <c r="A47">
        <v>2019</v>
      </c>
      <c r="B47" t="s">
        <v>47</v>
      </c>
      <c r="C47">
        <v>16.510000000000002</v>
      </c>
      <c r="D47">
        <v>2.23</v>
      </c>
      <c r="E47">
        <v>4.3499999999999996</v>
      </c>
      <c r="F47">
        <v>0.8</v>
      </c>
      <c r="G47">
        <v>67.59</v>
      </c>
      <c r="H47" t="s">
        <v>39</v>
      </c>
      <c r="I47">
        <v>4.95</v>
      </c>
      <c r="J47">
        <v>-0.25</v>
      </c>
      <c r="K47">
        <v>9</v>
      </c>
      <c r="L47">
        <v>5.64</v>
      </c>
      <c r="M47" t="s">
        <v>40</v>
      </c>
      <c r="N47" t="s">
        <v>36</v>
      </c>
      <c r="O47">
        <v>1213.57</v>
      </c>
      <c r="P47">
        <v>173.04</v>
      </c>
      <c r="Q47" t="s">
        <v>19</v>
      </c>
      <c r="R47" t="s">
        <v>43</v>
      </c>
    </row>
    <row r="48" spans="1:18" x14ac:dyDescent="0.2">
      <c r="A48">
        <v>2019</v>
      </c>
      <c r="B48" t="s">
        <v>49</v>
      </c>
      <c r="C48">
        <v>8.19</v>
      </c>
      <c r="D48">
        <v>2.2400000000000002</v>
      </c>
      <c r="E48">
        <v>12.11</v>
      </c>
      <c r="F48">
        <v>0.47</v>
      </c>
      <c r="G48">
        <v>85.18</v>
      </c>
      <c r="H48" t="s">
        <v>19</v>
      </c>
      <c r="I48">
        <v>6.39</v>
      </c>
      <c r="J48">
        <v>0.33</v>
      </c>
      <c r="K48">
        <v>5</v>
      </c>
      <c r="L48">
        <v>12.62</v>
      </c>
      <c r="M48" t="s">
        <v>26</v>
      </c>
      <c r="N48" t="s">
        <v>41</v>
      </c>
      <c r="O48">
        <v>1461.13</v>
      </c>
      <c r="P48">
        <v>227.62</v>
      </c>
      <c r="Q48" t="s">
        <v>25</v>
      </c>
      <c r="R48" t="s">
        <v>28</v>
      </c>
    </row>
    <row r="49" spans="1:18" x14ac:dyDescent="0.2">
      <c r="A49">
        <v>2019</v>
      </c>
      <c r="B49" t="s">
        <v>50</v>
      </c>
      <c r="C49">
        <v>16.850000000000001</v>
      </c>
      <c r="D49">
        <v>2.25</v>
      </c>
      <c r="E49">
        <v>4.58</v>
      </c>
      <c r="F49">
        <v>0.71</v>
      </c>
      <c r="G49">
        <v>92.04</v>
      </c>
      <c r="H49" t="s">
        <v>19</v>
      </c>
      <c r="I49">
        <v>5.14</v>
      </c>
      <c r="J49">
        <v>10</v>
      </c>
      <c r="K49">
        <v>12</v>
      </c>
      <c r="L49">
        <v>4.51</v>
      </c>
      <c r="M49" t="s">
        <v>52</v>
      </c>
      <c r="N49" t="s">
        <v>27</v>
      </c>
      <c r="O49">
        <v>446.73</v>
      </c>
      <c r="P49">
        <v>174.01</v>
      </c>
      <c r="Q49" t="s">
        <v>30</v>
      </c>
      <c r="R49" t="s">
        <v>48</v>
      </c>
    </row>
    <row r="50" spans="1:18" x14ac:dyDescent="0.2">
      <c r="A50">
        <v>2020</v>
      </c>
      <c r="B50" t="s">
        <v>18</v>
      </c>
      <c r="C50">
        <v>16.100000000000001</v>
      </c>
      <c r="D50">
        <v>2.3199999999999998</v>
      </c>
      <c r="E50">
        <v>16.989999999999998</v>
      </c>
      <c r="F50">
        <v>1.03</v>
      </c>
      <c r="G50">
        <v>74.53</v>
      </c>
      <c r="H50" t="s">
        <v>22</v>
      </c>
      <c r="I50">
        <v>2.0499999999999998</v>
      </c>
      <c r="J50">
        <v>4.6500000000000004</v>
      </c>
      <c r="K50">
        <v>10</v>
      </c>
      <c r="L50">
        <v>18.57</v>
      </c>
      <c r="M50" t="s">
        <v>35</v>
      </c>
      <c r="N50" t="s">
        <v>41</v>
      </c>
      <c r="O50">
        <v>944.52</v>
      </c>
      <c r="P50">
        <v>221.79</v>
      </c>
      <c r="Q50" t="s">
        <v>19</v>
      </c>
      <c r="R50" t="s">
        <v>33</v>
      </c>
    </row>
    <row r="51" spans="1:18" x14ac:dyDescent="0.2">
      <c r="A51">
        <v>2020</v>
      </c>
      <c r="B51" t="s">
        <v>24</v>
      </c>
      <c r="C51">
        <v>15.81</v>
      </c>
      <c r="D51">
        <v>2.33</v>
      </c>
      <c r="E51">
        <v>8.9499999999999993</v>
      </c>
      <c r="F51">
        <v>1.1399999999999999</v>
      </c>
      <c r="G51">
        <v>73.010000000000005</v>
      </c>
      <c r="H51" t="s">
        <v>39</v>
      </c>
      <c r="I51">
        <v>3.13</v>
      </c>
      <c r="J51">
        <v>11.13</v>
      </c>
      <c r="K51">
        <v>1</v>
      </c>
      <c r="L51">
        <v>9.7100000000000009</v>
      </c>
      <c r="M51" t="s">
        <v>52</v>
      </c>
      <c r="N51" t="s">
        <v>41</v>
      </c>
      <c r="O51">
        <v>538.16999999999996</v>
      </c>
      <c r="P51">
        <v>252.19</v>
      </c>
      <c r="Q51" t="s">
        <v>25</v>
      </c>
      <c r="R51" t="s">
        <v>28</v>
      </c>
    </row>
    <row r="52" spans="1:18" x14ac:dyDescent="0.2">
      <c r="A52">
        <v>2020</v>
      </c>
      <c r="B52" t="s">
        <v>29</v>
      </c>
      <c r="C52">
        <v>10.6</v>
      </c>
      <c r="D52">
        <v>2.34</v>
      </c>
      <c r="E52">
        <v>3.78</v>
      </c>
      <c r="F52">
        <v>1.92</v>
      </c>
      <c r="G52">
        <v>77.599999999999994</v>
      </c>
      <c r="H52" t="s">
        <v>19</v>
      </c>
      <c r="I52">
        <v>6.71</v>
      </c>
      <c r="J52">
        <v>10.8</v>
      </c>
      <c r="K52">
        <v>4</v>
      </c>
      <c r="L52">
        <v>2.66</v>
      </c>
      <c r="M52" t="s">
        <v>31</v>
      </c>
      <c r="N52" t="s">
        <v>21</v>
      </c>
      <c r="O52">
        <v>2650.9</v>
      </c>
      <c r="P52">
        <v>229.77</v>
      </c>
      <c r="Q52" t="s">
        <v>39</v>
      </c>
      <c r="R52" t="s">
        <v>28</v>
      </c>
    </row>
    <row r="53" spans="1:18" x14ac:dyDescent="0.2">
      <c r="A53">
        <v>2020</v>
      </c>
      <c r="B53" t="s">
        <v>34</v>
      </c>
      <c r="C53">
        <v>12.58</v>
      </c>
      <c r="D53">
        <v>2.35</v>
      </c>
      <c r="E53">
        <v>4.04</v>
      </c>
      <c r="F53">
        <v>0.78</v>
      </c>
      <c r="G53">
        <v>76.14</v>
      </c>
      <c r="H53" t="s">
        <v>39</v>
      </c>
      <c r="I53">
        <v>2.76</v>
      </c>
      <c r="J53">
        <v>5.49</v>
      </c>
      <c r="K53">
        <v>4</v>
      </c>
      <c r="L53">
        <v>5.84</v>
      </c>
      <c r="M53" t="s">
        <v>52</v>
      </c>
      <c r="N53" t="s">
        <v>41</v>
      </c>
      <c r="O53">
        <v>2824.78</v>
      </c>
      <c r="P53">
        <v>215.36</v>
      </c>
      <c r="Q53" t="s">
        <v>30</v>
      </c>
      <c r="R53" t="s">
        <v>48</v>
      </c>
    </row>
    <row r="54" spans="1:18" x14ac:dyDescent="0.2">
      <c r="A54">
        <v>2020</v>
      </c>
      <c r="B54" t="s">
        <v>38</v>
      </c>
      <c r="C54">
        <v>11.62</v>
      </c>
      <c r="D54">
        <v>2.36</v>
      </c>
      <c r="E54">
        <v>2.4700000000000002</v>
      </c>
      <c r="F54">
        <v>0.71</v>
      </c>
      <c r="G54">
        <v>72.209999999999994</v>
      </c>
      <c r="H54" t="s">
        <v>39</v>
      </c>
      <c r="I54">
        <v>7.2</v>
      </c>
      <c r="J54">
        <v>5.41</v>
      </c>
      <c r="K54">
        <v>7</v>
      </c>
      <c r="L54">
        <v>3.75</v>
      </c>
      <c r="M54" t="s">
        <v>26</v>
      </c>
      <c r="N54" t="s">
        <v>41</v>
      </c>
      <c r="O54">
        <v>1528.79</v>
      </c>
      <c r="P54">
        <v>263.67</v>
      </c>
      <c r="Q54" t="s">
        <v>39</v>
      </c>
      <c r="R54" t="s">
        <v>33</v>
      </c>
    </row>
    <row r="55" spans="1:18" x14ac:dyDescent="0.2">
      <c r="A55">
        <v>2020</v>
      </c>
      <c r="B55" t="s">
        <v>42</v>
      </c>
      <c r="C55">
        <v>15.78</v>
      </c>
      <c r="D55">
        <v>2.37</v>
      </c>
      <c r="E55">
        <v>17.420000000000002</v>
      </c>
      <c r="F55">
        <v>0.59</v>
      </c>
      <c r="G55">
        <v>78.39</v>
      </c>
      <c r="H55" t="s">
        <v>39</v>
      </c>
      <c r="I55">
        <v>5.18</v>
      </c>
      <c r="J55">
        <v>0.41</v>
      </c>
      <c r="K55">
        <v>13</v>
      </c>
      <c r="L55">
        <v>19.68</v>
      </c>
      <c r="M55" t="s">
        <v>52</v>
      </c>
      <c r="N55" t="s">
        <v>32</v>
      </c>
      <c r="O55">
        <v>2119.1999999999998</v>
      </c>
      <c r="P55">
        <v>207.88</v>
      </c>
      <c r="Q55" t="s">
        <v>30</v>
      </c>
      <c r="R55" t="s">
        <v>43</v>
      </c>
    </row>
    <row r="56" spans="1:18" x14ac:dyDescent="0.2">
      <c r="A56">
        <v>2020</v>
      </c>
      <c r="B56" t="s">
        <v>44</v>
      </c>
      <c r="C56">
        <v>17.09</v>
      </c>
      <c r="D56">
        <v>2.38</v>
      </c>
      <c r="E56">
        <v>17.34</v>
      </c>
      <c r="F56">
        <v>7.0000000000000007E-2</v>
      </c>
      <c r="G56">
        <v>95.3</v>
      </c>
      <c r="H56" t="s">
        <v>30</v>
      </c>
      <c r="I56">
        <v>6.01</v>
      </c>
      <c r="J56">
        <v>7.02</v>
      </c>
      <c r="K56">
        <v>6</v>
      </c>
      <c r="L56">
        <v>18.45</v>
      </c>
      <c r="M56" t="s">
        <v>26</v>
      </c>
      <c r="N56" t="s">
        <v>27</v>
      </c>
      <c r="O56">
        <v>989.83</v>
      </c>
      <c r="P56">
        <v>213.45</v>
      </c>
      <c r="Q56" t="s">
        <v>39</v>
      </c>
      <c r="R56" t="s">
        <v>23</v>
      </c>
    </row>
    <row r="57" spans="1:18" x14ac:dyDescent="0.2">
      <c r="A57">
        <v>2020</v>
      </c>
      <c r="B57" t="s">
        <v>45</v>
      </c>
      <c r="C57">
        <v>3.57</v>
      </c>
      <c r="D57">
        <v>2.39</v>
      </c>
      <c r="E57">
        <v>10.1</v>
      </c>
      <c r="F57">
        <v>1.0900000000000001</v>
      </c>
      <c r="G57">
        <v>90.8</v>
      </c>
      <c r="H57" t="s">
        <v>25</v>
      </c>
      <c r="I57">
        <v>3.45</v>
      </c>
      <c r="J57">
        <v>15.03</v>
      </c>
      <c r="K57">
        <v>9</v>
      </c>
      <c r="L57">
        <v>11.49</v>
      </c>
      <c r="M57" t="s">
        <v>52</v>
      </c>
      <c r="N57" t="s">
        <v>36</v>
      </c>
      <c r="O57">
        <v>1810.55</v>
      </c>
      <c r="P57">
        <v>219.28</v>
      </c>
      <c r="Q57" t="s">
        <v>19</v>
      </c>
      <c r="R57" t="s">
        <v>37</v>
      </c>
    </row>
    <row r="58" spans="1:18" x14ac:dyDescent="0.2">
      <c r="A58">
        <v>2020</v>
      </c>
      <c r="B58" t="s">
        <v>46</v>
      </c>
      <c r="C58">
        <v>7.21</v>
      </c>
      <c r="D58">
        <v>2.4</v>
      </c>
      <c r="E58">
        <v>7.44</v>
      </c>
      <c r="F58">
        <v>0.14000000000000001</v>
      </c>
      <c r="G58">
        <v>91.33</v>
      </c>
      <c r="H58" t="s">
        <v>25</v>
      </c>
      <c r="I58">
        <v>2.4300000000000002</v>
      </c>
      <c r="J58">
        <v>-0.25</v>
      </c>
      <c r="K58">
        <v>4</v>
      </c>
      <c r="L58">
        <v>8.74</v>
      </c>
      <c r="M58" t="s">
        <v>20</v>
      </c>
      <c r="N58" t="s">
        <v>21</v>
      </c>
      <c r="O58">
        <v>1934.25</v>
      </c>
      <c r="P58">
        <v>221.23</v>
      </c>
      <c r="Q58" t="s">
        <v>39</v>
      </c>
      <c r="R58" t="s">
        <v>43</v>
      </c>
    </row>
    <row r="59" spans="1:18" x14ac:dyDescent="0.2">
      <c r="A59">
        <v>2020</v>
      </c>
      <c r="B59" t="s">
        <v>47</v>
      </c>
      <c r="C59">
        <v>3.32</v>
      </c>
      <c r="D59">
        <v>2.41</v>
      </c>
      <c r="E59">
        <v>2.25</v>
      </c>
      <c r="F59">
        <v>1.32</v>
      </c>
      <c r="G59">
        <v>60.76</v>
      </c>
      <c r="H59" t="s">
        <v>39</v>
      </c>
      <c r="I59">
        <v>1</v>
      </c>
      <c r="J59">
        <v>-1.18</v>
      </c>
      <c r="K59">
        <v>4</v>
      </c>
      <c r="L59">
        <v>1.51</v>
      </c>
      <c r="M59" t="s">
        <v>20</v>
      </c>
      <c r="N59" t="s">
        <v>27</v>
      </c>
      <c r="O59">
        <v>1878.32</v>
      </c>
      <c r="P59">
        <v>230.17</v>
      </c>
      <c r="Q59" t="s">
        <v>19</v>
      </c>
      <c r="R59" t="s">
        <v>33</v>
      </c>
    </row>
    <row r="60" spans="1:18" x14ac:dyDescent="0.2">
      <c r="A60">
        <v>2020</v>
      </c>
      <c r="B60" t="s">
        <v>49</v>
      </c>
      <c r="C60">
        <v>9.25</v>
      </c>
      <c r="D60">
        <v>2.42</v>
      </c>
      <c r="E60">
        <v>12.74</v>
      </c>
      <c r="F60">
        <v>2.23</v>
      </c>
      <c r="G60">
        <v>96.87</v>
      </c>
      <c r="H60" t="s">
        <v>30</v>
      </c>
      <c r="I60">
        <v>6</v>
      </c>
      <c r="J60">
        <v>-1.77</v>
      </c>
      <c r="K60">
        <v>12</v>
      </c>
      <c r="L60">
        <v>11.15</v>
      </c>
      <c r="M60" t="s">
        <v>40</v>
      </c>
      <c r="N60" t="s">
        <v>51</v>
      </c>
      <c r="O60">
        <v>529.28</v>
      </c>
      <c r="P60">
        <v>199.77</v>
      </c>
      <c r="Q60" t="s">
        <v>22</v>
      </c>
      <c r="R60" t="s">
        <v>23</v>
      </c>
    </row>
    <row r="61" spans="1:18" x14ac:dyDescent="0.2">
      <c r="A61">
        <v>2020</v>
      </c>
      <c r="B61" t="s">
        <v>50</v>
      </c>
      <c r="C61">
        <v>7.27</v>
      </c>
      <c r="D61">
        <v>2.4300000000000002</v>
      </c>
      <c r="E61">
        <v>3.2</v>
      </c>
      <c r="F61">
        <v>1.25</v>
      </c>
      <c r="G61">
        <v>71.400000000000006</v>
      </c>
      <c r="H61" t="s">
        <v>39</v>
      </c>
      <c r="I61">
        <v>2.2200000000000002</v>
      </c>
      <c r="J61">
        <v>-0.55000000000000004</v>
      </c>
      <c r="K61">
        <v>3</v>
      </c>
      <c r="L61">
        <v>4.7</v>
      </c>
      <c r="M61" t="s">
        <v>35</v>
      </c>
      <c r="N61" t="s">
        <v>21</v>
      </c>
      <c r="O61">
        <v>1598.69</v>
      </c>
      <c r="P61">
        <v>205.12</v>
      </c>
      <c r="Q61" t="s">
        <v>39</v>
      </c>
      <c r="R61" t="s">
        <v>43</v>
      </c>
    </row>
    <row r="62" spans="1:18" x14ac:dyDescent="0.2">
      <c r="A62">
        <v>2021</v>
      </c>
      <c r="B62" t="s">
        <v>18</v>
      </c>
      <c r="C62">
        <v>17.649999999999999</v>
      </c>
      <c r="D62">
        <v>2.5</v>
      </c>
      <c r="E62">
        <v>11</v>
      </c>
      <c r="F62">
        <v>0.96</v>
      </c>
      <c r="G62">
        <v>82.39</v>
      </c>
      <c r="H62" t="s">
        <v>25</v>
      </c>
      <c r="I62">
        <v>6.62</v>
      </c>
      <c r="J62">
        <v>-4.93</v>
      </c>
      <c r="K62">
        <v>9</v>
      </c>
      <c r="L62">
        <v>12.17</v>
      </c>
      <c r="M62" t="s">
        <v>40</v>
      </c>
      <c r="N62" t="s">
        <v>41</v>
      </c>
      <c r="O62">
        <v>1822.42</v>
      </c>
      <c r="P62">
        <v>248.07</v>
      </c>
      <c r="Q62" t="s">
        <v>22</v>
      </c>
      <c r="R62" t="s">
        <v>43</v>
      </c>
    </row>
    <row r="63" spans="1:18" x14ac:dyDescent="0.2">
      <c r="A63">
        <v>2021</v>
      </c>
      <c r="B63" t="s">
        <v>24</v>
      </c>
      <c r="C63">
        <v>9.94</v>
      </c>
      <c r="D63">
        <v>2.5099999999999998</v>
      </c>
      <c r="E63">
        <v>2.14</v>
      </c>
      <c r="F63">
        <v>0.46</v>
      </c>
      <c r="G63">
        <v>61.34</v>
      </c>
      <c r="H63" t="s">
        <v>30</v>
      </c>
      <c r="I63">
        <v>4.16</v>
      </c>
      <c r="J63">
        <v>6.04</v>
      </c>
      <c r="K63">
        <v>2</v>
      </c>
      <c r="L63">
        <v>4.38</v>
      </c>
      <c r="M63" t="s">
        <v>20</v>
      </c>
      <c r="N63" t="s">
        <v>21</v>
      </c>
      <c r="O63">
        <v>2218.39</v>
      </c>
      <c r="P63">
        <v>263.85000000000002</v>
      </c>
      <c r="Q63" t="s">
        <v>22</v>
      </c>
      <c r="R63" t="s">
        <v>48</v>
      </c>
    </row>
    <row r="64" spans="1:18" x14ac:dyDescent="0.2">
      <c r="A64">
        <v>2021</v>
      </c>
      <c r="B64" t="s">
        <v>29</v>
      </c>
      <c r="C64">
        <v>12.83</v>
      </c>
      <c r="D64">
        <v>2.52</v>
      </c>
      <c r="E64">
        <v>11.02</v>
      </c>
      <c r="F64">
        <v>0.05</v>
      </c>
      <c r="G64">
        <v>84.96</v>
      </c>
      <c r="H64" t="s">
        <v>22</v>
      </c>
      <c r="I64">
        <v>2.0499999999999998</v>
      </c>
      <c r="J64">
        <v>6.78</v>
      </c>
      <c r="K64">
        <v>6</v>
      </c>
      <c r="L64">
        <v>12.47</v>
      </c>
      <c r="M64" t="s">
        <v>31</v>
      </c>
      <c r="N64" t="s">
        <v>27</v>
      </c>
      <c r="O64">
        <v>1247.53</v>
      </c>
      <c r="P64">
        <v>280.94</v>
      </c>
      <c r="Q64" t="s">
        <v>25</v>
      </c>
      <c r="R64" t="s">
        <v>33</v>
      </c>
    </row>
    <row r="65" spans="1:18" x14ac:dyDescent="0.2">
      <c r="A65">
        <v>2021</v>
      </c>
      <c r="B65" t="s">
        <v>34</v>
      </c>
      <c r="C65">
        <v>4.6500000000000004</v>
      </c>
      <c r="D65">
        <v>2.5299999999999998</v>
      </c>
      <c r="E65">
        <v>12.49</v>
      </c>
      <c r="F65">
        <v>1.67</v>
      </c>
      <c r="G65">
        <v>97.28</v>
      </c>
      <c r="H65" t="s">
        <v>39</v>
      </c>
      <c r="I65">
        <v>6.44</v>
      </c>
      <c r="J65">
        <v>15.64</v>
      </c>
      <c r="K65">
        <v>5</v>
      </c>
      <c r="L65">
        <v>12.63</v>
      </c>
      <c r="M65" t="s">
        <v>20</v>
      </c>
      <c r="N65" t="s">
        <v>36</v>
      </c>
      <c r="O65">
        <v>1004.56</v>
      </c>
      <c r="P65">
        <v>245.65</v>
      </c>
      <c r="Q65" t="s">
        <v>25</v>
      </c>
      <c r="R65" t="s">
        <v>23</v>
      </c>
    </row>
    <row r="66" spans="1:18" x14ac:dyDescent="0.2">
      <c r="A66">
        <v>2021</v>
      </c>
      <c r="B66" t="s">
        <v>38</v>
      </c>
      <c r="C66">
        <v>17.100000000000001</v>
      </c>
      <c r="D66">
        <v>2.54</v>
      </c>
      <c r="E66">
        <v>7.57</v>
      </c>
      <c r="F66">
        <v>1.19</v>
      </c>
      <c r="G66">
        <v>88.36</v>
      </c>
      <c r="H66" t="s">
        <v>22</v>
      </c>
      <c r="I66">
        <v>6.8</v>
      </c>
      <c r="J66">
        <v>15.11</v>
      </c>
      <c r="K66">
        <v>15</v>
      </c>
      <c r="L66">
        <v>7.33</v>
      </c>
      <c r="M66" t="s">
        <v>31</v>
      </c>
      <c r="N66" t="s">
        <v>21</v>
      </c>
      <c r="O66">
        <v>2342.81</v>
      </c>
      <c r="P66">
        <v>265.61</v>
      </c>
      <c r="Q66" t="s">
        <v>25</v>
      </c>
      <c r="R66" t="s">
        <v>23</v>
      </c>
    </row>
    <row r="67" spans="1:18" x14ac:dyDescent="0.2">
      <c r="A67">
        <v>2021</v>
      </c>
      <c r="B67" t="s">
        <v>42</v>
      </c>
      <c r="C67">
        <v>17.96</v>
      </c>
      <c r="D67">
        <v>2.5499999999999998</v>
      </c>
      <c r="E67">
        <v>17.3</v>
      </c>
      <c r="F67">
        <v>1.18</v>
      </c>
      <c r="G67">
        <v>93.55</v>
      </c>
      <c r="H67" t="s">
        <v>22</v>
      </c>
      <c r="I67">
        <v>3.93</v>
      </c>
      <c r="J67">
        <v>14.41</v>
      </c>
      <c r="K67">
        <v>3</v>
      </c>
      <c r="L67">
        <v>18.77</v>
      </c>
      <c r="M67" t="s">
        <v>20</v>
      </c>
      <c r="N67" t="s">
        <v>32</v>
      </c>
      <c r="O67">
        <v>1707.32</v>
      </c>
      <c r="P67">
        <v>286.51</v>
      </c>
      <c r="Q67" t="s">
        <v>22</v>
      </c>
      <c r="R67" t="s">
        <v>23</v>
      </c>
    </row>
    <row r="68" spans="1:18" x14ac:dyDescent="0.2">
      <c r="A68">
        <v>2021</v>
      </c>
      <c r="B68" t="s">
        <v>44</v>
      </c>
      <c r="C68">
        <v>14.04</v>
      </c>
      <c r="D68">
        <v>2.56</v>
      </c>
      <c r="E68">
        <v>4.01</v>
      </c>
      <c r="F68">
        <v>0.32</v>
      </c>
      <c r="G68">
        <v>95.13</v>
      </c>
      <c r="H68" t="s">
        <v>22</v>
      </c>
      <c r="I68">
        <v>5.97</v>
      </c>
      <c r="J68">
        <v>-4.92</v>
      </c>
      <c r="K68">
        <v>2</v>
      </c>
      <c r="L68">
        <v>6.34</v>
      </c>
      <c r="M68" t="s">
        <v>31</v>
      </c>
      <c r="N68" t="s">
        <v>36</v>
      </c>
      <c r="O68">
        <v>2401.13</v>
      </c>
      <c r="P68">
        <v>239.66</v>
      </c>
      <c r="Q68" t="s">
        <v>39</v>
      </c>
      <c r="R68" t="s">
        <v>37</v>
      </c>
    </row>
    <row r="69" spans="1:18" x14ac:dyDescent="0.2">
      <c r="A69">
        <v>2021</v>
      </c>
      <c r="B69" t="s">
        <v>45</v>
      </c>
      <c r="C69">
        <v>10.15</v>
      </c>
      <c r="D69">
        <v>2.57</v>
      </c>
      <c r="E69">
        <v>14.55</v>
      </c>
      <c r="F69">
        <v>0.93</v>
      </c>
      <c r="G69">
        <v>66.83</v>
      </c>
      <c r="H69" t="s">
        <v>22</v>
      </c>
      <c r="I69">
        <v>3.61</v>
      </c>
      <c r="J69">
        <v>-4.67</v>
      </c>
      <c r="K69">
        <v>13</v>
      </c>
      <c r="L69">
        <v>14.7</v>
      </c>
      <c r="M69" t="s">
        <v>35</v>
      </c>
      <c r="N69" t="s">
        <v>27</v>
      </c>
      <c r="O69">
        <v>2591</v>
      </c>
      <c r="P69">
        <v>234.26</v>
      </c>
      <c r="Q69" t="s">
        <v>25</v>
      </c>
      <c r="R69" t="s">
        <v>23</v>
      </c>
    </row>
    <row r="70" spans="1:18" x14ac:dyDescent="0.2">
      <c r="A70">
        <v>2021</v>
      </c>
      <c r="B70" t="s">
        <v>46</v>
      </c>
      <c r="C70">
        <v>11.68</v>
      </c>
      <c r="D70">
        <v>2.58</v>
      </c>
      <c r="E70">
        <v>10.65</v>
      </c>
      <c r="F70">
        <v>1.41</v>
      </c>
      <c r="G70">
        <v>66.05</v>
      </c>
      <c r="H70" t="s">
        <v>22</v>
      </c>
      <c r="I70">
        <v>1.73</v>
      </c>
      <c r="J70">
        <v>14.06</v>
      </c>
      <c r="K70">
        <v>13</v>
      </c>
      <c r="L70">
        <v>11.16</v>
      </c>
      <c r="M70" t="s">
        <v>20</v>
      </c>
      <c r="N70" t="s">
        <v>27</v>
      </c>
      <c r="O70">
        <v>2483.44</v>
      </c>
      <c r="P70">
        <v>225.76</v>
      </c>
      <c r="Q70" t="s">
        <v>22</v>
      </c>
      <c r="R70" t="s">
        <v>33</v>
      </c>
    </row>
    <row r="71" spans="1:18" x14ac:dyDescent="0.2">
      <c r="A71">
        <v>2021</v>
      </c>
      <c r="B71" t="s">
        <v>47</v>
      </c>
      <c r="C71">
        <v>15.27</v>
      </c>
      <c r="D71">
        <v>2.59</v>
      </c>
      <c r="E71">
        <v>6.16</v>
      </c>
      <c r="F71">
        <v>0.57999999999999996</v>
      </c>
      <c r="G71">
        <v>93.25</v>
      </c>
      <c r="H71" t="s">
        <v>25</v>
      </c>
      <c r="I71">
        <v>3.21</v>
      </c>
      <c r="J71">
        <v>9.83</v>
      </c>
      <c r="K71">
        <v>2</v>
      </c>
      <c r="L71">
        <v>6.9</v>
      </c>
      <c r="M71" t="s">
        <v>35</v>
      </c>
      <c r="N71" t="s">
        <v>21</v>
      </c>
      <c r="O71">
        <v>1572.59</v>
      </c>
      <c r="P71">
        <v>268.02999999999997</v>
      </c>
      <c r="Q71" t="s">
        <v>39</v>
      </c>
      <c r="R71" t="s">
        <v>33</v>
      </c>
    </row>
    <row r="72" spans="1:18" x14ac:dyDescent="0.2">
      <c r="A72">
        <v>2021</v>
      </c>
      <c r="B72" t="s">
        <v>49</v>
      </c>
      <c r="C72">
        <v>3.71</v>
      </c>
      <c r="D72">
        <v>2.6</v>
      </c>
      <c r="E72">
        <v>10.199999999999999</v>
      </c>
      <c r="F72">
        <v>1.03</v>
      </c>
      <c r="G72">
        <v>77.2</v>
      </c>
      <c r="H72" t="s">
        <v>25</v>
      </c>
      <c r="I72">
        <v>5.94</v>
      </c>
      <c r="J72">
        <v>-1.05</v>
      </c>
      <c r="K72">
        <v>15</v>
      </c>
      <c r="L72">
        <v>10</v>
      </c>
      <c r="M72" t="s">
        <v>52</v>
      </c>
      <c r="N72" t="s">
        <v>32</v>
      </c>
      <c r="O72">
        <v>1939.6</v>
      </c>
      <c r="P72">
        <v>288.17</v>
      </c>
      <c r="Q72" t="s">
        <v>30</v>
      </c>
      <c r="R72" t="s">
        <v>43</v>
      </c>
    </row>
    <row r="73" spans="1:18" x14ac:dyDescent="0.2">
      <c r="A73">
        <v>2021</v>
      </c>
      <c r="B73" t="s">
        <v>50</v>
      </c>
      <c r="C73">
        <v>7.94</v>
      </c>
      <c r="D73">
        <v>2.61</v>
      </c>
      <c r="E73">
        <v>16.91</v>
      </c>
      <c r="F73">
        <v>2.19</v>
      </c>
      <c r="G73">
        <v>94.94</v>
      </c>
      <c r="H73" t="s">
        <v>30</v>
      </c>
      <c r="I73">
        <v>3.97</v>
      </c>
      <c r="J73">
        <v>9.91</v>
      </c>
      <c r="K73">
        <v>1</v>
      </c>
      <c r="L73">
        <v>16.54</v>
      </c>
      <c r="M73" t="s">
        <v>52</v>
      </c>
      <c r="N73" t="s">
        <v>21</v>
      </c>
      <c r="O73">
        <v>1661.9</v>
      </c>
      <c r="P73">
        <v>249.78</v>
      </c>
      <c r="Q73" t="s">
        <v>22</v>
      </c>
      <c r="R73" t="s">
        <v>48</v>
      </c>
    </row>
    <row r="74" spans="1:18" x14ac:dyDescent="0.2">
      <c r="A74">
        <v>2022</v>
      </c>
      <c r="B74" t="s">
        <v>18</v>
      </c>
      <c r="C74">
        <v>16.48</v>
      </c>
      <c r="D74">
        <v>2.68</v>
      </c>
      <c r="E74">
        <v>4.8099999999999996</v>
      </c>
      <c r="F74">
        <v>1.07</v>
      </c>
      <c r="G74">
        <v>89.25</v>
      </c>
      <c r="H74" t="s">
        <v>25</v>
      </c>
      <c r="I74">
        <v>4.22</v>
      </c>
      <c r="J74">
        <v>6.53</v>
      </c>
      <c r="K74">
        <v>7</v>
      </c>
      <c r="L74">
        <v>6.24</v>
      </c>
      <c r="M74" t="s">
        <v>20</v>
      </c>
      <c r="N74" t="s">
        <v>36</v>
      </c>
      <c r="O74">
        <v>1203.3800000000001</v>
      </c>
      <c r="P74">
        <v>293.83999999999997</v>
      </c>
      <c r="Q74" t="s">
        <v>39</v>
      </c>
      <c r="R74" t="s">
        <v>48</v>
      </c>
    </row>
    <row r="75" spans="1:18" x14ac:dyDescent="0.2">
      <c r="A75">
        <v>2022</v>
      </c>
      <c r="B75" t="s">
        <v>24</v>
      </c>
      <c r="C75">
        <v>6.01</v>
      </c>
      <c r="D75">
        <v>2.69</v>
      </c>
      <c r="E75">
        <v>10.41</v>
      </c>
      <c r="F75">
        <v>1.43</v>
      </c>
      <c r="G75">
        <v>60</v>
      </c>
      <c r="H75" t="s">
        <v>19</v>
      </c>
      <c r="I75">
        <v>3.18</v>
      </c>
      <c r="J75">
        <v>9.2799999999999994</v>
      </c>
      <c r="K75">
        <v>12</v>
      </c>
      <c r="L75">
        <v>10.1</v>
      </c>
      <c r="M75" t="s">
        <v>26</v>
      </c>
      <c r="N75" t="s">
        <v>32</v>
      </c>
      <c r="O75">
        <v>1314.57</v>
      </c>
      <c r="P75">
        <v>264.37</v>
      </c>
      <c r="Q75" t="s">
        <v>25</v>
      </c>
      <c r="R75" t="s">
        <v>37</v>
      </c>
    </row>
    <row r="76" spans="1:18" x14ac:dyDescent="0.2">
      <c r="A76">
        <v>2022</v>
      </c>
      <c r="B76" t="s">
        <v>29</v>
      </c>
      <c r="C76">
        <v>12.65</v>
      </c>
      <c r="D76">
        <v>2.7</v>
      </c>
      <c r="E76">
        <v>8.41</v>
      </c>
      <c r="F76">
        <v>1.45</v>
      </c>
      <c r="G76">
        <v>93.26</v>
      </c>
      <c r="H76" t="s">
        <v>25</v>
      </c>
      <c r="I76">
        <v>7.21</v>
      </c>
      <c r="J76">
        <v>-1.7</v>
      </c>
      <c r="K76">
        <v>15</v>
      </c>
      <c r="L76">
        <v>9.1300000000000008</v>
      </c>
      <c r="M76" t="s">
        <v>20</v>
      </c>
      <c r="N76" t="s">
        <v>41</v>
      </c>
      <c r="O76">
        <v>1867.4</v>
      </c>
      <c r="P76">
        <v>318.7</v>
      </c>
      <c r="Q76" t="s">
        <v>30</v>
      </c>
      <c r="R76" t="s">
        <v>33</v>
      </c>
    </row>
    <row r="77" spans="1:18" x14ac:dyDescent="0.2">
      <c r="A77">
        <v>2022</v>
      </c>
      <c r="B77" t="s">
        <v>34</v>
      </c>
      <c r="C77">
        <v>7.5</v>
      </c>
      <c r="D77">
        <v>2.71</v>
      </c>
      <c r="E77">
        <v>2.54</v>
      </c>
      <c r="F77">
        <v>1.63</v>
      </c>
      <c r="G77">
        <v>83.01</v>
      </c>
      <c r="H77" t="s">
        <v>39</v>
      </c>
      <c r="I77">
        <v>5.27</v>
      </c>
      <c r="J77">
        <v>4.07</v>
      </c>
      <c r="K77">
        <v>2</v>
      </c>
      <c r="L77">
        <v>3.09</v>
      </c>
      <c r="M77" t="s">
        <v>31</v>
      </c>
      <c r="N77" t="s">
        <v>51</v>
      </c>
      <c r="O77">
        <v>708.07</v>
      </c>
      <c r="P77">
        <v>309.29000000000002</v>
      </c>
      <c r="Q77" t="s">
        <v>39</v>
      </c>
      <c r="R77" t="s">
        <v>48</v>
      </c>
    </row>
    <row r="78" spans="1:18" x14ac:dyDescent="0.2">
      <c r="A78">
        <v>2022</v>
      </c>
      <c r="B78" t="s">
        <v>38</v>
      </c>
      <c r="C78">
        <v>9.17</v>
      </c>
      <c r="D78">
        <v>2.72</v>
      </c>
      <c r="E78">
        <v>6.57</v>
      </c>
      <c r="F78">
        <v>0.88</v>
      </c>
      <c r="G78">
        <v>89.71</v>
      </c>
      <c r="H78" t="s">
        <v>19</v>
      </c>
      <c r="I78">
        <v>1.5</v>
      </c>
      <c r="J78">
        <v>2.06</v>
      </c>
      <c r="K78">
        <v>11</v>
      </c>
      <c r="L78">
        <v>7.36</v>
      </c>
      <c r="M78" t="s">
        <v>26</v>
      </c>
      <c r="N78" t="s">
        <v>51</v>
      </c>
      <c r="O78">
        <v>2648.46</v>
      </c>
      <c r="P78">
        <v>284.67</v>
      </c>
      <c r="Q78" t="s">
        <v>19</v>
      </c>
      <c r="R78" t="s">
        <v>28</v>
      </c>
    </row>
    <row r="79" spans="1:18" x14ac:dyDescent="0.2">
      <c r="A79">
        <v>2022</v>
      </c>
      <c r="B79" t="s">
        <v>42</v>
      </c>
      <c r="C79">
        <v>16.309999999999999</v>
      </c>
      <c r="D79">
        <v>2.73</v>
      </c>
      <c r="E79">
        <v>10.92</v>
      </c>
      <c r="F79">
        <v>2.48</v>
      </c>
      <c r="G79">
        <v>85.75</v>
      </c>
      <c r="H79" t="s">
        <v>30</v>
      </c>
      <c r="I79">
        <v>6.46</v>
      </c>
      <c r="J79">
        <v>14.47</v>
      </c>
      <c r="K79">
        <v>15</v>
      </c>
      <c r="L79">
        <v>9.5500000000000007</v>
      </c>
      <c r="M79" t="s">
        <v>20</v>
      </c>
      <c r="N79" t="s">
        <v>27</v>
      </c>
      <c r="O79">
        <v>2737.65</v>
      </c>
      <c r="P79">
        <v>296.58</v>
      </c>
      <c r="Q79" t="s">
        <v>19</v>
      </c>
      <c r="R79" t="s">
        <v>48</v>
      </c>
    </row>
    <row r="80" spans="1:18" x14ac:dyDescent="0.2">
      <c r="A80">
        <v>2022</v>
      </c>
      <c r="B80" t="s">
        <v>44</v>
      </c>
      <c r="C80">
        <v>7.1</v>
      </c>
      <c r="D80">
        <v>2.74</v>
      </c>
      <c r="E80">
        <v>6.5</v>
      </c>
      <c r="F80">
        <v>1.96</v>
      </c>
      <c r="G80">
        <v>76.790000000000006</v>
      </c>
      <c r="H80" t="s">
        <v>39</v>
      </c>
      <c r="I80">
        <v>0.93</v>
      </c>
      <c r="J80">
        <v>-3.27</v>
      </c>
      <c r="K80">
        <v>14</v>
      </c>
      <c r="L80">
        <v>5.26</v>
      </c>
      <c r="M80" t="s">
        <v>40</v>
      </c>
      <c r="N80" t="s">
        <v>32</v>
      </c>
      <c r="O80">
        <v>2453.06</v>
      </c>
      <c r="P80">
        <v>279.73</v>
      </c>
      <c r="Q80" t="s">
        <v>25</v>
      </c>
      <c r="R80" t="s">
        <v>48</v>
      </c>
    </row>
    <row r="81" spans="1:18" x14ac:dyDescent="0.2">
      <c r="A81">
        <v>2022</v>
      </c>
      <c r="B81" t="s">
        <v>45</v>
      </c>
      <c r="C81">
        <v>11.89</v>
      </c>
      <c r="D81">
        <v>2.75</v>
      </c>
      <c r="E81">
        <v>14.61</v>
      </c>
      <c r="F81">
        <v>0.17</v>
      </c>
      <c r="G81">
        <v>66.23</v>
      </c>
      <c r="H81" t="s">
        <v>22</v>
      </c>
      <c r="I81">
        <v>3.67</v>
      </c>
      <c r="J81">
        <v>13.41</v>
      </c>
      <c r="K81">
        <v>9</v>
      </c>
      <c r="L81">
        <v>15.81</v>
      </c>
      <c r="M81" t="s">
        <v>52</v>
      </c>
      <c r="N81" t="s">
        <v>32</v>
      </c>
      <c r="O81">
        <v>2399.92</v>
      </c>
      <c r="P81">
        <v>266.45</v>
      </c>
      <c r="Q81" t="s">
        <v>39</v>
      </c>
      <c r="R81" t="s">
        <v>37</v>
      </c>
    </row>
    <row r="82" spans="1:18" x14ac:dyDescent="0.2">
      <c r="A82">
        <v>2022</v>
      </c>
      <c r="B82" t="s">
        <v>46</v>
      </c>
      <c r="C82">
        <v>10.55</v>
      </c>
      <c r="D82">
        <v>2.76</v>
      </c>
      <c r="E82">
        <v>4.43</v>
      </c>
      <c r="F82">
        <v>1.17</v>
      </c>
      <c r="G82">
        <v>69.099999999999994</v>
      </c>
      <c r="H82" t="s">
        <v>39</v>
      </c>
      <c r="I82">
        <v>5.24</v>
      </c>
      <c r="J82">
        <v>-0.73</v>
      </c>
      <c r="K82">
        <v>11</v>
      </c>
      <c r="L82">
        <v>5.45</v>
      </c>
      <c r="M82" t="s">
        <v>52</v>
      </c>
      <c r="N82" t="s">
        <v>27</v>
      </c>
      <c r="O82">
        <v>2066.2399999999998</v>
      </c>
      <c r="P82">
        <v>293.93</v>
      </c>
      <c r="Q82" t="s">
        <v>25</v>
      </c>
      <c r="R82" t="s">
        <v>37</v>
      </c>
    </row>
    <row r="83" spans="1:18" x14ac:dyDescent="0.2">
      <c r="A83">
        <v>2022</v>
      </c>
      <c r="B83" t="s">
        <v>47</v>
      </c>
      <c r="C83">
        <v>13.26</v>
      </c>
      <c r="D83">
        <v>2.77</v>
      </c>
      <c r="E83">
        <v>17.82</v>
      </c>
      <c r="F83">
        <v>1.1000000000000001</v>
      </c>
      <c r="G83">
        <v>97.56</v>
      </c>
      <c r="H83" t="s">
        <v>30</v>
      </c>
      <c r="I83">
        <v>4.12</v>
      </c>
      <c r="J83">
        <v>10.039999999999999</v>
      </c>
      <c r="K83">
        <v>6</v>
      </c>
      <c r="L83">
        <v>18.13</v>
      </c>
      <c r="M83" t="s">
        <v>20</v>
      </c>
      <c r="N83" t="s">
        <v>27</v>
      </c>
      <c r="O83">
        <v>878.39</v>
      </c>
      <c r="P83">
        <v>298.68</v>
      </c>
      <c r="Q83" t="s">
        <v>19</v>
      </c>
      <c r="R83" t="s">
        <v>33</v>
      </c>
    </row>
    <row r="84" spans="1:18" x14ac:dyDescent="0.2">
      <c r="A84">
        <v>2022</v>
      </c>
      <c r="B84" t="s">
        <v>49</v>
      </c>
      <c r="C84">
        <v>3.86</v>
      </c>
      <c r="D84">
        <v>2.78</v>
      </c>
      <c r="E84">
        <v>14.81</v>
      </c>
      <c r="F84">
        <v>0.03</v>
      </c>
      <c r="G84">
        <v>77.569999999999993</v>
      </c>
      <c r="H84" t="s">
        <v>19</v>
      </c>
      <c r="I84">
        <v>4.67</v>
      </c>
      <c r="J84">
        <v>1.54</v>
      </c>
      <c r="K84">
        <v>2</v>
      </c>
      <c r="L84">
        <v>16.93</v>
      </c>
      <c r="M84" t="s">
        <v>35</v>
      </c>
      <c r="N84" t="s">
        <v>27</v>
      </c>
      <c r="O84">
        <v>2473.17</v>
      </c>
      <c r="P84">
        <v>316.19</v>
      </c>
      <c r="Q84" t="s">
        <v>30</v>
      </c>
      <c r="R84" t="s">
        <v>43</v>
      </c>
    </row>
    <row r="85" spans="1:18" x14ac:dyDescent="0.2">
      <c r="A85">
        <v>2022</v>
      </c>
      <c r="B85" t="s">
        <v>50</v>
      </c>
      <c r="C85">
        <v>12.51</v>
      </c>
      <c r="D85">
        <v>2.79</v>
      </c>
      <c r="E85">
        <v>11.59</v>
      </c>
      <c r="F85">
        <v>1.22</v>
      </c>
      <c r="G85">
        <v>76.27</v>
      </c>
      <c r="H85" t="s">
        <v>39</v>
      </c>
      <c r="I85">
        <v>2.19</v>
      </c>
      <c r="J85">
        <v>11.7</v>
      </c>
      <c r="K85">
        <v>3</v>
      </c>
      <c r="L85">
        <v>12.11</v>
      </c>
      <c r="M85" t="s">
        <v>20</v>
      </c>
      <c r="N85" t="s">
        <v>51</v>
      </c>
      <c r="O85">
        <v>2787.96</v>
      </c>
      <c r="P85">
        <v>267.63</v>
      </c>
      <c r="Q85" t="s">
        <v>39</v>
      </c>
      <c r="R85" t="s">
        <v>37</v>
      </c>
    </row>
    <row r="86" spans="1:18" x14ac:dyDescent="0.2">
      <c r="A86">
        <v>2023</v>
      </c>
      <c r="B86" t="s">
        <v>18</v>
      </c>
      <c r="C86">
        <v>17.13</v>
      </c>
      <c r="D86">
        <v>2.86</v>
      </c>
      <c r="E86">
        <v>17.940000000000001</v>
      </c>
      <c r="F86">
        <v>0.39</v>
      </c>
      <c r="G86">
        <v>86.98</v>
      </c>
      <c r="H86" t="s">
        <v>19</v>
      </c>
      <c r="I86">
        <v>5.0599999999999996</v>
      </c>
      <c r="J86">
        <v>0.08</v>
      </c>
      <c r="K86">
        <v>10</v>
      </c>
      <c r="L86">
        <v>19.14</v>
      </c>
      <c r="M86" t="s">
        <v>20</v>
      </c>
      <c r="N86" t="s">
        <v>21</v>
      </c>
      <c r="O86">
        <v>661.47</v>
      </c>
      <c r="P86">
        <v>334.45</v>
      </c>
      <c r="Q86" t="s">
        <v>19</v>
      </c>
      <c r="R86" t="s">
        <v>43</v>
      </c>
    </row>
    <row r="87" spans="1:18" x14ac:dyDescent="0.2">
      <c r="A87">
        <v>2023</v>
      </c>
      <c r="B87" t="s">
        <v>24</v>
      </c>
      <c r="C87">
        <v>9.3699999999999992</v>
      </c>
      <c r="D87">
        <v>2.87</v>
      </c>
      <c r="E87">
        <v>16.190000000000001</v>
      </c>
      <c r="F87">
        <v>1.55</v>
      </c>
      <c r="G87">
        <v>89.61</v>
      </c>
      <c r="H87" t="s">
        <v>22</v>
      </c>
      <c r="I87">
        <v>5.78</v>
      </c>
      <c r="J87">
        <v>10.66</v>
      </c>
      <c r="K87">
        <v>8</v>
      </c>
      <c r="L87">
        <v>16.62</v>
      </c>
      <c r="M87" t="s">
        <v>35</v>
      </c>
      <c r="N87" t="s">
        <v>27</v>
      </c>
      <c r="O87">
        <v>2121.94</v>
      </c>
      <c r="P87">
        <v>344.47</v>
      </c>
      <c r="Q87" t="s">
        <v>30</v>
      </c>
      <c r="R87" t="s">
        <v>23</v>
      </c>
    </row>
    <row r="88" spans="1:18" x14ac:dyDescent="0.2">
      <c r="A88">
        <v>2023</v>
      </c>
      <c r="B88" t="s">
        <v>29</v>
      </c>
      <c r="C88">
        <v>14.35</v>
      </c>
      <c r="D88">
        <v>2.88</v>
      </c>
      <c r="E88">
        <v>11.05</v>
      </c>
      <c r="F88">
        <v>0.33</v>
      </c>
      <c r="G88">
        <v>96.1</v>
      </c>
      <c r="H88" t="s">
        <v>39</v>
      </c>
      <c r="I88">
        <v>7.36</v>
      </c>
      <c r="J88">
        <v>3.91</v>
      </c>
      <c r="K88">
        <v>13</v>
      </c>
      <c r="L88">
        <v>12.92</v>
      </c>
      <c r="M88" t="s">
        <v>31</v>
      </c>
      <c r="N88" t="s">
        <v>32</v>
      </c>
      <c r="O88">
        <v>1042.3800000000001</v>
      </c>
      <c r="P88">
        <v>292.83999999999997</v>
      </c>
      <c r="Q88" t="s">
        <v>19</v>
      </c>
      <c r="R88" t="s">
        <v>43</v>
      </c>
    </row>
    <row r="89" spans="1:18" x14ac:dyDescent="0.2">
      <c r="A89">
        <v>2023</v>
      </c>
      <c r="B89" t="s">
        <v>34</v>
      </c>
      <c r="C89">
        <v>8.42</v>
      </c>
      <c r="D89">
        <v>2.89</v>
      </c>
      <c r="E89">
        <v>10.31</v>
      </c>
      <c r="F89">
        <v>2.12</v>
      </c>
      <c r="G89">
        <v>85.17</v>
      </c>
      <c r="H89" t="s">
        <v>30</v>
      </c>
      <c r="I89">
        <v>1.58</v>
      </c>
      <c r="J89">
        <v>11.75</v>
      </c>
      <c r="K89">
        <v>7</v>
      </c>
      <c r="L89">
        <v>10.48</v>
      </c>
      <c r="M89" t="s">
        <v>35</v>
      </c>
      <c r="N89" t="s">
        <v>36</v>
      </c>
      <c r="O89">
        <v>2155.33</v>
      </c>
      <c r="P89">
        <v>287.7</v>
      </c>
      <c r="Q89" t="s">
        <v>22</v>
      </c>
      <c r="R89" t="s">
        <v>43</v>
      </c>
    </row>
    <row r="90" spans="1:18" x14ac:dyDescent="0.2">
      <c r="A90">
        <v>2023</v>
      </c>
      <c r="B90" t="s">
        <v>38</v>
      </c>
      <c r="C90">
        <v>3.78</v>
      </c>
      <c r="D90">
        <v>2.9</v>
      </c>
      <c r="E90">
        <v>16.190000000000001</v>
      </c>
      <c r="F90">
        <v>0.88</v>
      </c>
      <c r="G90">
        <v>64.33</v>
      </c>
      <c r="H90" t="s">
        <v>25</v>
      </c>
      <c r="I90">
        <v>5.85</v>
      </c>
      <c r="J90">
        <v>-2.4900000000000002</v>
      </c>
      <c r="K90">
        <v>15</v>
      </c>
      <c r="L90">
        <v>16.29</v>
      </c>
      <c r="M90" t="s">
        <v>35</v>
      </c>
      <c r="N90" t="s">
        <v>21</v>
      </c>
      <c r="O90">
        <v>398.84</v>
      </c>
      <c r="P90">
        <v>295.3</v>
      </c>
      <c r="Q90" t="s">
        <v>25</v>
      </c>
      <c r="R90" t="s">
        <v>23</v>
      </c>
    </row>
    <row r="91" spans="1:18" x14ac:dyDescent="0.2">
      <c r="A91">
        <v>2023</v>
      </c>
      <c r="B91" t="s">
        <v>42</v>
      </c>
      <c r="C91">
        <v>5.35</v>
      </c>
      <c r="D91">
        <v>2.91</v>
      </c>
      <c r="E91">
        <v>11.94</v>
      </c>
      <c r="F91">
        <v>2.46</v>
      </c>
      <c r="G91">
        <v>97.17</v>
      </c>
      <c r="H91" t="s">
        <v>25</v>
      </c>
      <c r="I91">
        <v>3.86</v>
      </c>
      <c r="J91">
        <v>-3.1</v>
      </c>
      <c r="K91">
        <v>4</v>
      </c>
      <c r="L91">
        <v>11.93</v>
      </c>
      <c r="M91" t="s">
        <v>26</v>
      </c>
      <c r="N91" t="s">
        <v>27</v>
      </c>
      <c r="O91">
        <v>920.77</v>
      </c>
      <c r="P91">
        <v>287.99</v>
      </c>
      <c r="Q91" t="s">
        <v>22</v>
      </c>
      <c r="R91" t="s">
        <v>48</v>
      </c>
    </row>
    <row r="92" spans="1:18" x14ac:dyDescent="0.2">
      <c r="A92">
        <v>2023</v>
      </c>
      <c r="B92" t="s">
        <v>44</v>
      </c>
      <c r="C92">
        <v>7.55</v>
      </c>
      <c r="D92">
        <v>2.92</v>
      </c>
      <c r="E92">
        <v>8.23</v>
      </c>
      <c r="F92">
        <v>0.94</v>
      </c>
      <c r="G92">
        <v>77.650000000000006</v>
      </c>
      <c r="H92" t="s">
        <v>25</v>
      </c>
      <c r="I92">
        <v>7.46</v>
      </c>
      <c r="J92">
        <v>12.91</v>
      </c>
      <c r="K92">
        <v>4</v>
      </c>
      <c r="L92">
        <v>9.34</v>
      </c>
      <c r="M92" t="s">
        <v>26</v>
      </c>
      <c r="N92" t="s">
        <v>36</v>
      </c>
      <c r="O92">
        <v>1409.9</v>
      </c>
      <c r="P92">
        <v>314.24</v>
      </c>
      <c r="Q92" t="s">
        <v>19</v>
      </c>
      <c r="R92" t="s">
        <v>28</v>
      </c>
    </row>
    <row r="93" spans="1:18" x14ac:dyDescent="0.2">
      <c r="A93">
        <v>2023</v>
      </c>
      <c r="B93" t="s">
        <v>45</v>
      </c>
      <c r="C93">
        <v>14.81</v>
      </c>
      <c r="D93">
        <v>2.93</v>
      </c>
      <c r="E93">
        <v>5.99</v>
      </c>
      <c r="F93">
        <v>1.35</v>
      </c>
      <c r="G93">
        <v>93.12</v>
      </c>
      <c r="H93" t="s">
        <v>22</v>
      </c>
      <c r="I93">
        <v>4.91</v>
      </c>
      <c r="J93">
        <v>5.47</v>
      </c>
      <c r="K93">
        <v>11</v>
      </c>
      <c r="L93">
        <v>5.38</v>
      </c>
      <c r="M93" t="s">
        <v>35</v>
      </c>
      <c r="N93" t="s">
        <v>21</v>
      </c>
      <c r="O93">
        <v>1795.67</v>
      </c>
      <c r="P93">
        <v>282.82</v>
      </c>
      <c r="Q93" t="s">
        <v>25</v>
      </c>
      <c r="R93" t="s">
        <v>33</v>
      </c>
    </row>
    <row r="94" spans="1:18" x14ac:dyDescent="0.2">
      <c r="A94">
        <v>2023</v>
      </c>
      <c r="B94" t="s">
        <v>46</v>
      </c>
      <c r="C94">
        <v>11.33</v>
      </c>
      <c r="D94">
        <v>2.94</v>
      </c>
      <c r="E94">
        <v>14.65</v>
      </c>
      <c r="F94">
        <v>0.43</v>
      </c>
      <c r="G94">
        <v>85.54</v>
      </c>
      <c r="H94" t="s">
        <v>25</v>
      </c>
      <c r="I94">
        <v>2.57</v>
      </c>
      <c r="J94">
        <v>9.64</v>
      </c>
      <c r="K94">
        <v>8</v>
      </c>
      <c r="L94">
        <v>16.39</v>
      </c>
      <c r="M94" t="s">
        <v>40</v>
      </c>
      <c r="N94" t="s">
        <v>27</v>
      </c>
      <c r="O94">
        <v>2569.11</v>
      </c>
      <c r="P94">
        <v>299.92</v>
      </c>
      <c r="Q94" t="s">
        <v>22</v>
      </c>
      <c r="R94" t="s">
        <v>33</v>
      </c>
    </row>
    <row r="95" spans="1:18" x14ac:dyDescent="0.2">
      <c r="A95">
        <v>2023</v>
      </c>
      <c r="B95" t="s">
        <v>47</v>
      </c>
      <c r="C95">
        <v>17.53</v>
      </c>
      <c r="D95">
        <v>2.95</v>
      </c>
      <c r="E95">
        <v>11.58</v>
      </c>
      <c r="F95">
        <v>0.72</v>
      </c>
      <c r="G95">
        <v>97.36</v>
      </c>
      <c r="H95" t="s">
        <v>25</v>
      </c>
      <c r="I95">
        <v>2.42</v>
      </c>
      <c r="J95">
        <v>5.81</v>
      </c>
      <c r="K95">
        <v>9</v>
      </c>
      <c r="L95">
        <v>13.69</v>
      </c>
      <c r="M95" t="s">
        <v>35</v>
      </c>
      <c r="N95" t="s">
        <v>27</v>
      </c>
      <c r="O95">
        <v>2275.83</v>
      </c>
      <c r="P95">
        <v>296.24</v>
      </c>
      <c r="Q95" t="s">
        <v>19</v>
      </c>
      <c r="R95" t="s">
        <v>37</v>
      </c>
    </row>
    <row r="96" spans="1:18" x14ac:dyDescent="0.2">
      <c r="A96">
        <v>2023</v>
      </c>
      <c r="B96" t="s">
        <v>49</v>
      </c>
      <c r="C96">
        <v>8.48</v>
      </c>
      <c r="D96">
        <v>2.96</v>
      </c>
      <c r="E96">
        <v>16.54</v>
      </c>
      <c r="F96">
        <v>1.49</v>
      </c>
      <c r="G96">
        <v>73.599999999999994</v>
      </c>
      <c r="H96" t="s">
        <v>30</v>
      </c>
      <c r="I96">
        <v>4.8099999999999996</v>
      </c>
      <c r="J96">
        <v>1.34</v>
      </c>
      <c r="K96">
        <v>14</v>
      </c>
      <c r="L96">
        <v>16.86</v>
      </c>
      <c r="M96" t="s">
        <v>26</v>
      </c>
      <c r="N96" t="s">
        <v>21</v>
      </c>
      <c r="O96">
        <v>2599.7800000000002</v>
      </c>
      <c r="P96">
        <v>301.29000000000002</v>
      </c>
      <c r="Q96" t="s">
        <v>22</v>
      </c>
      <c r="R96" t="s">
        <v>48</v>
      </c>
    </row>
    <row r="97" spans="1:18" x14ac:dyDescent="0.2">
      <c r="A97">
        <v>2023</v>
      </c>
      <c r="B97" t="s">
        <v>50</v>
      </c>
      <c r="C97">
        <v>6.69</v>
      </c>
      <c r="D97">
        <v>2.97</v>
      </c>
      <c r="E97">
        <v>10.92</v>
      </c>
      <c r="F97">
        <v>1.91</v>
      </c>
      <c r="G97">
        <v>78.91</v>
      </c>
      <c r="H97" t="s">
        <v>19</v>
      </c>
      <c r="I97">
        <v>5.97</v>
      </c>
      <c r="J97">
        <v>7.99</v>
      </c>
      <c r="K97">
        <v>7</v>
      </c>
      <c r="L97">
        <v>11.41</v>
      </c>
      <c r="M97" t="s">
        <v>26</v>
      </c>
      <c r="N97" t="s">
        <v>36</v>
      </c>
      <c r="O97">
        <v>1822.02</v>
      </c>
      <c r="P97">
        <v>294.18</v>
      </c>
      <c r="Q97" t="s">
        <v>25</v>
      </c>
      <c r="R97" t="s">
        <v>33</v>
      </c>
    </row>
    <row r="98" spans="1:18" x14ac:dyDescent="0.2">
      <c r="A98">
        <v>2024</v>
      </c>
      <c r="B98" t="s">
        <v>18</v>
      </c>
      <c r="C98">
        <v>5.75</v>
      </c>
      <c r="D98">
        <v>3.04</v>
      </c>
      <c r="E98">
        <v>2.29</v>
      </c>
      <c r="F98">
        <v>2.35</v>
      </c>
      <c r="G98">
        <v>83.08</v>
      </c>
      <c r="H98" t="s">
        <v>25</v>
      </c>
      <c r="I98">
        <v>4.8600000000000003</v>
      </c>
      <c r="J98">
        <v>2.2799999999999998</v>
      </c>
      <c r="K98">
        <v>7</v>
      </c>
      <c r="L98">
        <v>2.17</v>
      </c>
      <c r="M98" t="s">
        <v>31</v>
      </c>
      <c r="N98" t="s">
        <v>51</v>
      </c>
      <c r="O98">
        <v>2662.45</v>
      </c>
      <c r="P98">
        <v>363.88</v>
      </c>
      <c r="Q98" t="s">
        <v>30</v>
      </c>
      <c r="R98" t="s">
        <v>23</v>
      </c>
    </row>
    <row r="99" spans="1:18" x14ac:dyDescent="0.2">
      <c r="A99">
        <v>2024</v>
      </c>
      <c r="B99" t="s">
        <v>24</v>
      </c>
      <c r="C99">
        <v>11.73</v>
      </c>
      <c r="D99">
        <v>3.05</v>
      </c>
      <c r="E99">
        <v>8.81</v>
      </c>
      <c r="F99">
        <v>1.99</v>
      </c>
      <c r="G99">
        <v>86.98</v>
      </c>
      <c r="H99" t="s">
        <v>19</v>
      </c>
      <c r="I99">
        <v>3.8</v>
      </c>
      <c r="J99">
        <v>1.3</v>
      </c>
      <c r="K99">
        <v>15</v>
      </c>
      <c r="L99">
        <v>8</v>
      </c>
      <c r="M99" t="s">
        <v>40</v>
      </c>
      <c r="N99" t="s">
        <v>41</v>
      </c>
      <c r="O99">
        <v>1343.7</v>
      </c>
      <c r="P99">
        <v>344.53</v>
      </c>
      <c r="Q99" t="s">
        <v>39</v>
      </c>
      <c r="R99" t="s">
        <v>28</v>
      </c>
    </row>
    <row r="100" spans="1:18" x14ac:dyDescent="0.2">
      <c r="A100">
        <v>2024</v>
      </c>
      <c r="B100" t="s">
        <v>29</v>
      </c>
      <c r="C100">
        <v>3.94</v>
      </c>
      <c r="D100">
        <v>3.06</v>
      </c>
      <c r="E100">
        <v>7.61</v>
      </c>
      <c r="F100">
        <v>1.41</v>
      </c>
      <c r="G100">
        <v>66.03</v>
      </c>
      <c r="H100" t="s">
        <v>39</v>
      </c>
      <c r="I100">
        <v>2.5</v>
      </c>
      <c r="J100">
        <v>-0.6</v>
      </c>
      <c r="K100">
        <v>14</v>
      </c>
      <c r="L100">
        <v>6.7</v>
      </c>
      <c r="M100" t="s">
        <v>31</v>
      </c>
      <c r="N100" t="s">
        <v>36</v>
      </c>
      <c r="O100">
        <v>1745.68</v>
      </c>
      <c r="P100">
        <v>362.78</v>
      </c>
      <c r="Q100" t="s">
        <v>22</v>
      </c>
      <c r="R100" t="s">
        <v>48</v>
      </c>
    </row>
    <row r="101" spans="1:18" x14ac:dyDescent="0.2">
      <c r="A101">
        <v>2024</v>
      </c>
      <c r="B101" t="s">
        <v>34</v>
      </c>
      <c r="C101">
        <v>4.76</v>
      </c>
      <c r="D101">
        <v>3.07</v>
      </c>
      <c r="E101">
        <v>14.59</v>
      </c>
      <c r="F101">
        <v>7.0000000000000007E-2</v>
      </c>
      <c r="G101">
        <v>60.77</v>
      </c>
      <c r="H101" t="s">
        <v>22</v>
      </c>
      <c r="I101">
        <v>5.03</v>
      </c>
      <c r="J101">
        <v>13.15</v>
      </c>
      <c r="K101">
        <v>12</v>
      </c>
      <c r="L101">
        <v>16.07</v>
      </c>
      <c r="M101" t="s">
        <v>40</v>
      </c>
      <c r="N101" t="s">
        <v>27</v>
      </c>
      <c r="O101">
        <v>977.06</v>
      </c>
      <c r="P101">
        <v>320.16000000000003</v>
      </c>
      <c r="Q101" t="s">
        <v>25</v>
      </c>
      <c r="R101" t="s">
        <v>43</v>
      </c>
    </row>
    <row r="102" spans="1:18" x14ac:dyDescent="0.2">
      <c r="A102">
        <v>2024</v>
      </c>
      <c r="B102" t="s">
        <v>38</v>
      </c>
      <c r="C102">
        <v>17.73</v>
      </c>
      <c r="D102">
        <v>3.08</v>
      </c>
      <c r="E102">
        <v>9.9700000000000006</v>
      </c>
      <c r="F102">
        <v>1.64</v>
      </c>
      <c r="G102">
        <v>76.349999999999994</v>
      </c>
      <c r="H102" t="s">
        <v>19</v>
      </c>
      <c r="I102">
        <v>3.59</v>
      </c>
      <c r="J102">
        <v>3.01</v>
      </c>
      <c r="K102">
        <v>6</v>
      </c>
      <c r="L102">
        <v>10.79</v>
      </c>
      <c r="M102" t="s">
        <v>31</v>
      </c>
      <c r="N102" t="s">
        <v>21</v>
      </c>
      <c r="O102">
        <v>2743.94</v>
      </c>
      <c r="P102">
        <v>364.79</v>
      </c>
      <c r="Q102" t="s">
        <v>25</v>
      </c>
      <c r="R102" t="s">
        <v>23</v>
      </c>
    </row>
    <row r="103" spans="1:18" x14ac:dyDescent="0.2">
      <c r="A103">
        <v>2024</v>
      </c>
      <c r="B103" t="s">
        <v>42</v>
      </c>
      <c r="C103">
        <v>10.19</v>
      </c>
      <c r="D103">
        <v>3.09</v>
      </c>
      <c r="E103">
        <v>15.51</v>
      </c>
      <c r="F103">
        <v>0.32</v>
      </c>
      <c r="G103">
        <v>73.17</v>
      </c>
      <c r="H103" t="s">
        <v>25</v>
      </c>
      <c r="I103">
        <v>6.13</v>
      </c>
      <c r="J103">
        <v>-4.18</v>
      </c>
      <c r="K103">
        <v>9</v>
      </c>
      <c r="L103">
        <v>17.829999999999998</v>
      </c>
      <c r="M103" t="s">
        <v>52</v>
      </c>
      <c r="N103" t="s">
        <v>51</v>
      </c>
      <c r="O103">
        <v>1025.83</v>
      </c>
      <c r="P103">
        <v>346.97</v>
      </c>
      <c r="Q103" t="s">
        <v>30</v>
      </c>
      <c r="R103" t="s">
        <v>48</v>
      </c>
    </row>
    <row r="104" spans="1:18" x14ac:dyDescent="0.2">
      <c r="A104">
        <v>2024</v>
      </c>
      <c r="B104" t="s">
        <v>44</v>
      </c>
      <c r="C104">
        <v>16.02</v>
      </c>
      <c r="D104">
        <v>3.1</v>
      </c>
      <c r="E104">
        <v>12.89</v>
      </c>
      <c r="F104">
        <v>0.49</v>
      </c>
      <c r="G104">
        <v>96.65</v>
      </c>
      <c r="H104" t="s">
        <v>25</v>
      </c>
      <c r="I104">
        <v>2.0499999999999998</v>
      </c>
      <c r="J104">
        <v>2.2799999999999998</v>
      </c>
      <c r="K104">
        <v>3</v>
      </c>
      <c r="L104">
        <v>15.12</v>
      </c>
      <c r="M104" t="s">
        <v>20</v>
      </c>
      <c r="N104" t="s">
        <v>41</v>
      </c>
      <c r="O104">
        <v>1273.22</v>
      </c>
      <c r="P104">
        <v>310.58</v>
      </c>
      <c r="Q104" t="s">
        <v>22</v>
      </c>
      <c r="R104" t="s">
        <v>48</v>
      </c>
    </row>
    <row r="105" spans="1:18" x14ac:dyDescent="0.2">
      <c r="A105">
        <v>2024</v>
      </c>
      <c r="B105" t="s">
        <v>45</v>
      </c>
      <c r="C105">
        <v>4.7</v>
      </c>
      <c r="D105">
        <v>3.11</v>
      </c>
      <c r="E105">
        <v>3.36</v>
      </c>
      <c r="F105">
        <v>2.13</v>
      </c>
      <c r="G105">
        <v>96.65</v>
      </c>
      <c r="H105" t="s">
        <v>22</v>
      </c>
      <c r="I105">
        <v>3.96</v>
      </c>
      <c r="J105">
        <v>-2.65</v>
      </c>
      <c r="K105">
        <v>4</v>
      </c>
      <c r="L105">
        <v>2.61</v>
      </c>
      <c r="M105" t="s">
        <v>40</v>
      </c>
      <c r="N105" t="s">
        <v>21</v>
      </c>
      <c r="O105">
        <v>2513.92</v>
      </c>
      <c r="P105">
        <v>316.37</v>
      </c>
      <c r="Q105" t="s">
        <v>25</v>
      </c>
      <c r="R105" t="s">
        <v>37</v>
      </c>
    </row>
    <row r="106" spans="1:18" x14ac:dyDescent="0.2">
      <c r="A106">
        <v>2024</v>
      </c>
      <c r="B106" t="s">
        <v>46</v>
      </c>
      <c r="C106">
        <v>8.7899999999999991</v>
      </c>
      <c r="D106">
        <v>3.12</v>
      </c>
      <c r="E106">
        <v>2.61</v>
      </c>
      <c r="F106">
        <v>1.95</v>
      </c>
      <c r="G106">
        <v>89.26</v>
      </c>
      <c r="H106" t="s">
        <v>30</v>
      </c>
      <c r="I106">
        <v>5.8</v>
      </c>
      <c r="J106">
        <v>-0.73</v>
      </c>
      <c r="K106">
        <v>8</v>
      </c>
      <c r="L106">
        <v>1.88</v>
      </c>
      <c r="M106" t="s">
        <v>31</v>
      </c>
      <c r="N106" t="s">
        <v>41</v>
      </c>
      <c r="O106">
        <v>2292.5700000000002</v>
      </c>
      <c r="P106">
        <v>310.31</v>
      </c>
      <c r="Q106" t="s">
        <v>19</v>
      </c>
      <c r="R106" t="s">
        <v>23</v>
      </c>
    </row>
    <row r="107" spans="1:18" x14ac:dyDescent="0.2">
      <c r="A107">
        <v>2024</v>
      </c>
      <c r="B107" t="s">
        <v>47</v>
      </c>
      <c r="C107">
        <v>16.14</v>
      </c>
      <c r="D107">
        <v>3.13</v>
      </c>
      <c r="E107">
        <v>3.39</v>
      </c>
      <c r="F107">
        <v>0.64</v>
      </c>
      <c r="G107">
        <v>97.53</v>
      </c>
      <c r="H107" t="s">
        <v>22</v>
      </c>
      <c r="I107">
        <v>1.94</v>
      </c>
      <c r="J107">
        <v>12.02</v>
      </c>
      <c r="K107">
        <v>14</v>
      </c>
      <c r="L107">
        <v>5.21</v>
      </c>
      <c r="M107" t="s">
        <v>35</v>
      </c>
      <c r="N107" t="s">
        <v>51</v>
      </c>
      <c r="O107">
        <v>2849.09</v>
      </c>
      <c r="P107">
        <v>312.12</v>
      </c>
      <c r="Q107" t="s">
        <v>30</v>
      </c>
      <c r="R107" t="s">
        <v>48</v>
      </c>
    </row>
    <row r="108" spans="1:18" x14ac:dyDescent="0.2">
      <c r="A108">
        <v>2024</v>
      </c>
      <c r="B108" t="s">
        <v>49</v>
      </c>
      <c r="C108">
        <v>10.62</v>
      </c>
      <c r="D108">
        <v>3.14</v>
      </c>
      <c r="E108">
        <v>10.050000000000001</v>
      </c>
      <c r="F108">
        <v>1.1499999999999999</v>
      </c>
      <c r="G108">
        <v>63.94</v>
      </c>
      <c r="H108" t="s">
        <v>22</v>
      </c>
      <c r="I108">
        <v>4.5999999999999996</v>
      </c>
      <c r="J108">
        <v>-3.34</v>
      </c>
      <c r="K108">
        <v>1</v>
      </c>
      <c r="L108">
        <v>10.08</v>
      </c>
      <c r="M108" t="s">
        <v>52</v>
      </c>
      <c r="N108" t="s">
        <v>51</v>
      </c>
      <c r="O108">
        <v>1611.99</v>
      </c>
      <c r="P108">
        <v>351.48</v>
      </c>
      <c r="Q108" t="s">
        <v>25</v>
      </c>
      <c r="R108" t="s">
        <v>33</v>
      </c>
    </row>
    <row r="109" spans="1:18" x14ac:dyDescent="0.2">
      <c r="A109">
        <v>2024</v>
      </c>
      <c r="B109" t="s">
        <v>50</v>
      </c>
      <c r="C109">
        <v>3.85</v>
      </c>
      <c r="D109">
        <v>3.15</v>
      </c>
      <c r="E109">
        <v>17.350000000000001</v>
      </c>
      <c r="F109">
        <v>0.14000000000000001</v>
      </c>
      <c r="G109">
        <v>78.790000000000006</v>
      </c>
      <c r="H109" t="s">
        <v>30</v>
      </c>
      <c r="I109">
        <v>4.49</v>
      </c>
      <c r="J109">
        <v>15.54</v>
      </c>
      <c r="K109">
        <v>7</v>
      </c>
      <c r="L109">
        <v>20.07</v>
      </c>
      <c r="M109" t="s">
        <v>40</v>
      </c>
      <c r="N109" t="s">
        <v>21</v>
      </c>
      <c r="O109">
        <v>2810.82</v>
      </c>
      <c r="P109">
        <v>369.63</v>
      </c>
      <c r="Q109" t="s">
        <v>19</v>
      </c>
      <c r="R109" t="s">
        <v>43</v>
      </c>
    </row>
    <row r="110" spans="1:18" x14ac:dyDescent="0.2">
      <c r="A110">
        <v>2025</v>
      </c>
      <c r="B110" t="s">
        <v>18</v>
      </c>
      <c r="C110">
        <v>14.19</v>
      </c>
      <c r="D110">
        <v>3.22</v>
      </c>
      <c r="E110">
        <v>6.78</v>
      </c>
      <c r="F110">
        <v>2.0299999999999998</v>
      </c>
      <c r="G110">
        <v>86.11</v>
      </c>
      <c r="H110" t="s">
        <v>30</v>
      </c>
      <c r="I110">
        <v>2.75</v>
      </c>
      <c r="J110">
        <v>5.34</v>
      </c>
      <c r="K110">
        <v>1</v>
      </c>
      <c r="L110">
        <v>7.62</v>
      </c>
      <c r="M110" t="s">
        <v>26</v>
      </c>
      <c r="N110" t="s">
        <v>51</v>
      </c>
      <c r="O110">
        <v>1639.97</v>
      </c>
      <c r="P110">
        <v>351.24</v>
      </c>
      <c r="Q110" t="s">
        <v>22</v>
      </c>
      <c r="R110" t="s">
        <v>48</v>
      </c>
    </row>
    <row r="111" spans="1:18" x14ac:dyDescent="0.2">
      <c r="A111">
        <v>2025</v>
      </c>
      <c r="B111" t="s">
        <v>24</v>
      </c>
      <c r="C111">
        <v>12.42</v>
      </c>
      <c r="D111">
        <v>3.23</v>
      </c>
      <c r="E111">
        <v>3.2</v>
      </c>
      <c r="F111">
        <v>1.5</v>
      </c>
      <c r="G111">
        <v>87.19</v>
      </c>
      <c r="H111" t="s">
        <v>30</v>
      </c>
      <c r="I111">
        <v>2.0699999999999998</v>
      </c>
      <c r="J111">
        <v>-1.23</v>
      </c>
      <c r="K111">
        <v>13</v>
      </c>
      <c r="L111">
        <v>4.07</v>
      </c>
      <c r="M111" t="s">
        <v>52</v>
      </c>
      <c r="N111" t="s">
        <v>41</v>
      </c>
      <c r="O111">
        <v>1933.86</v>
      </c>
      <c r="P111">
        <v>346.82</v>
      </c>
      <c r="Q111" t="s">
        <v>22</v>
      </c>
      <c r="R111" t="s">
        <v>28</v>
      </c>
    </row>
    <row r="112" spans="1:18" x14ac:dyDescent="0.2">
      <c r="A112">
        <v>2025</v>
      </c>
      <c r="B112" t="s">
        <v>29</v>
      </c>
      <c r="C112">
        <v>14.91</v>
      </c>
      <c r="D112">
        <v>3.24</v>
      </c>
      <c r="E112">
        <v>8.49</v>
      </c>
      <c r="F112">
        <v>1.54</v>
      </c>
      <c r="G112">
        <v>90.53</v>
      </c>
      <c r="H112" t="s">
        <v>22</v>
      </c>
      <c r="I112">
        <v>3.25</v>
      </c>
      <c r="J112">
        <v>6.81</v>
      </c>
      <c r="K112">
        <v>7</v>
      </c>
      <c r="L112">
        <v>7.65</v>
      </c>
      <c r="M112" t="s">
        <v>26</v>
      </c>
      <c r="N112" t="s">
        <v>27</v>
      </c>
      <c r="O112">
        <v>2571.71</v>
      </c>
      <c r="P112">
        <v>342.92</v>
      </c>
      <c r="Q112" t="s">
        <v>30</v>
      </c>
      <c r="R112" t="s">
        <v>33</v>
      </c>
    </row>
    <row r="113" spans="1:18" x14ac:dyDescent="0.2">
      <c r="A113">
        <v>2025</v>
      </c>
      <c r="B113" t="s">
        <v>34</v>
      </c>
      <c r="C113">
        <v>14.1</v>
      </c>
      <c r="D113">
        <v>3.25</v>
      </c>
      <c r="E113">
        <v>14.06</v>
      </c>
      <c r="F113">
        <v>1.52</v>
      </c>
      <c r="G113">
        <v>95.15</v>
      </c>
      <c r="H113" t="s">
        <v>22</v>
      </c>
      <c r="I113">
        <v>1.02</v>
      </c>
      <c r="J113">
        <v>9.98</v>
      </c>
      <c r="K113">
        <v>1</v>
      </c>
      <c r="L113">
        <v>13.42</v>
      </c>
      <c r="M113" t="s">
        <v>40</v>
      </c>
      <c r="N113" t="s">
        <v>32</v>
      </c>
      <c r="O113">
        <v>258.02999999999997</v>
      </c>
      <c r="P113">
        <v>368.85</v>
      </c>
      <c r="Q113" t="s">
        <v>22</v>
      </c>
      <c r="R113" t="s">
        <v>48</v>
      </c>
    </row>
    <row r="114" spans="1:18" x14ac:dyDescent="0.2">
      <c r="A114">
        <v>2025</v>
      </c>
      <c r="B114" t="s">
        <v>38</v>
      </c>
      <c r="C114">
        <v>11.21</v>
      </c>
      <c r="D114">
        <v>3.26</v>
      </c>
      <c r="E114">
        <v>9.8699999999999992</v>
      </c>
      <c r="F114">
        <v>0.7</v>
      </c>
      <c r="G114">
        <v>61.38</v>
      </c>
      <c r="H114" t="s">
        <v>19</v>
      </c>
      <c r="I114">
        <v>3.99</v>
      </c>
      <c r="J114">
        <v>-3.3</v>
      </c>
      <c r="K114">
        <v>1</v>
      </c>
      <c r="L114">
        <v>10.07</v>
      </c>
      <c r="M114" t="s">
        <v>20</v>
      </c>
      <c r="N114" t="s">
        <v>32</v>
      </c>
      <c r="O114">
        <v>2304.85</v>
      </c>
      <c r="P114">
        <v>344.71</v>
      </c>
      <c r="Q114" t="s">
        <v>39</v>
      </c>
      <c r="R114" t="s">
        <v>23</v>
      </c>
    </row>
    <row r="115" spans="1:18" x14ac:dyDescent="0.2">
      <c r="A115">
        <v>2025</v>
      </c>
      <c r="B115" t="s">
        <v>42</v>
      </c>
      <c r="C115">
        <v>8.32</v>
      </c>
      <c r="D115">
        <v>3.27</v>
      </c>
      <c r="E115">
        <v>5.55</v>
      </c>
      <c r="F115">
        <v>1.56</v>
      </c>
      <c r="G115">
        <v>62.95</v>
      </c>
      <c r="H115" t="s">
        <v>19</v>
      </c>
      <c r="I115">
        <v>6.63</v>
      </c>
      <c r="J115">
        <v>9.34</v>
      </c>
      <c r="K115">
        <v>10</v>
      </c>
      <c r="L115">
        <v>4.87</v>
      </c>
      <c r="M115" t="s">
        <v>20</v>
      </c>
      <c r="N115" t="s">
        <v>32</v>
      </c>
      <c r="O115">
        <v>453.52</v>
      </c>
      <c r="P115">
        <v>397.13</v>
      </c>
      <c r="Q115" t="s">
        <v>22</v>
      </c>
      <c r="R115" t="s">
        <v>37</v>
      </c>
    </row>
    <row r="116" spans="1:18" x14ac:dyDescent="0.2">
      <c r="A116">
        <v>2025</v>
      </c>
      <c r="B116" t="s">
        <v>44</v>
      </c>
      <c r="C116">
        <v>17.47</v>
      </c>
      <c r="D116">
        <v>3.28</v>
      </c>
      <c r="E116">
        <v>17.239999999999998</v>
      </c>
      <c r="F116">
        <v>1.5</v>
      </c>
      <c r="G116">
        <v>81.31</v>
      </c>
      <c r="H116" t="s">
        <v>39</v>
      </c>
      <c r="I116">
        <v>4.22</v>
      </c>
      <c r="J116">
        <v>2.21</v>
      </c>
      <c r="K116">
        <v>6</v>
      </c>
      <c r="L116">
        <v>18.59</v>
      </c>
      <c r="M116" t="s">
        <v>40</v>
      </c>
      <c r="N116" t="s">
        <v>27</v>
      </c>
      <c r="O116">
        <v>677.11</v>
      </c>
      <c r="P116">
        <v>344.66</v>
      </c>
      <c r="Q116" t="s">
        <v>30</v>
      </c>
      <c r="R116" t="s">
        <v>48</v>
      </c>
    </row>
    <row r="117" spans="1:18" x14ac:dyDescent="0.2">
      <c r="A117">
        <v>2025</v>
      </c>
      <c r="B117" t="s">
        <v>45</v>
      </c>
      <c r="C117">
        <v>12.86</v>
      </c>
      <c r="D117">
        <v>3.29</v>
      </c>
      <c r="E117">
        <v>3.07</v>
      </c>
      <c r="F117">
        <v>0.73</v>
      </c>
      <c r="G117">
        <v>84.35</v>
      </c>
      <c r="H117" t="s">
        <v>30</v>
      </c>
      <c r="I117">
        <v>6.59</v>
      </c>
      <c r="J117">
        <v>2.2999999999999998</v>
      </c>
      <c r="K117">
        <v>8</v>
      </c>
      <c r="L117">
        <v>3.64</v>
      </c>
      <c r="M117" t="s">
        <v>52</v>
      </c>
      <c r="N117" t="s">
        <v>27</v>
      </c>
      <c r="O117">
        <v>1155.9000000000001</v>
      </c>
      <c r="P117">
        <v>373.53</v>
      </c>
      <c r="Q117" t="s">
        <v>25</v>
      </c>
      <c r="R117" t="s">
        <v>23</v>
      </c>
    </row>
    <row r="118" spans="1:18" x14ac:dyDescent="0.2">
      <c r="A118">
        <v>2025</v>
      </c>
      <c r="B118" t="s">
        <v>46</v>
      </c>
      <c r="C118">
        <v>5.82</v>
      </c>
      <c r="D118">
        <v>3.3</v>
      </c>
      <c r="E118">
        <v>17.05</v>
      </c>
      <c r="F118">
        <v>1.0900000000000001</v>
      </c>
      <c r="G118">
        <v>90.84</v>
      </c>
      <c r="H118" t="s">
        <v>39</v>
      </c>
      <c r="I118">
        <v>3.95</v>
      </c>
      <c r="J118">
        <v>4.51</v>
      </c>
      <c r="K118">
        <v>9</v>
      </c>
      <c r="L118">
        <v>16.8</v>
      </c>
      <c r="M118" t="s">
        <v>35</v>
      </c>
      <c r="N118" t="s">
        <v>36</v>
      </c>
      <c r="O118">
        <v>979.94</v>
      </c>
      <c r="P118">
        <v>363.07</v>
      </c>
      <c r="Q118" t="s">
        <v>30</v>
      </c>
      <c r="R118" t="s">
        <v>28</v>
      </c>
    </row>
    <row r="119" spans="1:18" x14ac:dyDescent="0.2">
      <c r="A119">
        <v>2025</v>
      </c>
      <c r="B119" t="s">
        <v>47</v>
      </c>
      <c r="C119">
        <v>4.1500000000000004</v>
      </c>
      <c r="D119">
        <v>3.31</v>
      </c>
      <c r="E119">
        <v>13.91</v>
      </c>
      <c r="F119">
        <v>2.4900000000000002</v>
      </c>
      <c r="G119">
        <v>64.34</v>
      </c>
      <c r="H119" t="s">
        <v>19</v>
      </c>
      <c r="I119">
        <v>2.57</v>
      </c>
      <c r="J119">
        <v>1.31</v>
      </c>
      <c r="K119">
        <v>12</v>
      </c>
      <c r="L119">
        <v>12.66</v>
      </c>
      <c r="M119" t="s">
        <v>52</v>
      </c>
      <c r="N119" t="s">
        <v>21</v>
      </c>
      <c r="O119">
        <v>2807.25</v>
      </c>
      <c r="P119">
        <v>344.78</v>
      </c>
      <c r="Q119" t="s">
        <v>30</v>
      </c>
      <c r="R119" t="s">
        <v>23</v>
      </c>
    </row>
    <row r="120" spans="1:18" x14ac:dyDescent="0.2">
      <c r="A120">
        <v>2025</v>
      </c>
      <c r="B120" t="s">
        <v>49</v>
      </c>
      <c r="C120">
        <v>6.21</v>
      </c>
      <c r="D120">
        <v>3.32</v>
      </c>
      <c r="E120">
        <v>12.23</v>
      </c>
      <c r="F120">
        <v>1.96</v>
      </c>
      <c r="G120">
        <v>62.4</v>
      </c>
      <c r="H120" t="s">
        <v>19</v>
      </c>
      <c r="I120">
        <v>7.26</v>
      </c>
      <c r="J120">
        <v>-3.29</v>
      </c>
      <c r="K120">
        <v>2</v>
      </c>
      <c r="L120">
        <v>11.8</v>
      </c>
      <c r="M120" t="s">
        <v>31</v>
      </c>
      <c r="N120" t="s">
        <v>41</v>
      </c>
      <c r="O120">
        <v>1500.42</v>
      </c>
      <c r="P120">
        <v>357.02</v>
      </c>
      <c r="Q120" t="s">
        <v>25</v>
      </c>
      <c r="R120" t="s">
        <v>37</v>
      </c>
    </row>
    <row r="121" spans="1:18" x14ac:dyDescent="0.2">
      <c r="A121">
        <v>2025</v>
      </c>
      <c r="B121" t="s">
        <v>50</v>
      </c>
      <c r="C121">
        <v>11.37</v>
      </c>
      <c r="D121">
        <v>3.33</v>
      </c>
      <c r="E121">
        <v>17.100000000000001</v>
      </c>
      <c r="F121">
        <v>1.64</v>
      </c>
      <c r="G121">
        <v>76.78</v>
      </c>
      <c r="H121" t="s">
        <v>25</v>
      </c>
      <c r="I121">
        <v>1.4</v>
      </c>
      <c r="J121">
        <v>-1.82</v>
      </c>
      <c r="K121">
        <v>9</v>
      </c>
      <c r="L121">
        <v>16.5</v>
      </c>
      <c r="M121" t="s">
        <v>20</v>
      </c>
      <c r="N121" t="s">
        <v>51</v>
      </c>
      <c r="O121">
        <v>2543.86</v>
      </c>
      <c r="P121">
        <v>348.99</v>
      </c>
      <c r="Q121" t="s">
        <v>19</v>
      </c>
      <c r="R121" t="s">
        <v>28</v>
      </c>
    </row>
    <row r="122" spans="1:18" x14ac:dyDescent="0.2">
      <c r="A122">
        <v>2026</v>
      </c>
      <c r="B122" t="s">
        <v>18</v>
      </c>
      <c r="C122">
        <v>7.14</v>
      </c>
      <c r="D122">
        <v>3.4</v>
      </c>
      <c r="E122">
        <v>12.16</v>
      </c>
      <c r="F122">
        <v>2.02</v>
      </c>
      <c r="G122">
        <v>63.89</v>
      </c>
      <c r="H122" t="s">
        <v>22</v>
      </c>
      <c r="I122">
        <v>2.66</v>
      </c>
      <c r="J122">
        <v>13.04</v>
      </c>
      <c r="K122">
        <v>13</v>
      </c>
      <c r="L122">
        <v>11.38</v>
      </c>
      <c r="M122" t="s">
        <v>31</v>
      </c>
      <c r="N122" t="s">
        <v>51</v>
      </c>
      <c r="O122">
        <v>1132.45</v>
      </c>
      <c r="P122">
        <v>417.03</v>
      </c>
      <c r="Q122" t="s">
        <v>39</v>
      </c>
      <c r="R122" t="s">
        <v>33</v>
      </c>
    </row>
    <row r="123" spans="1:18" x14ac:dyDescent="0.2">
      <c r="A123">
        <v>2026</v>
      </c>
      <c r="B123" t="s">
        <v>24</v>
      </c>
      <c r="C123">
        <v>6.15</v>
      </c>
      <c r="D123">
        <v>3.41</v>
      </c>
      <c r="E123">
        <v>6.28</v>
      </c>
      <c r="F123">
        <v>1.06</v>
      </c>
      <c r="G123">
        <v>69</v>
      </c>
      <c r="H123" t="s">
        <v>25</v>
      </c>
      <c r="I123">
        <v>3.45</v>
      </c>
      <c r="J123">
        <v>11.82</v>
      </c>
      <c r="K123">
        <v>12</v>
      </c>
      <c r="L123">
        <v>6.38</v>
      </c>
      <c r="M123" t="s">
        <v>35</v>
      </c>
      <c r="N123" t="s">
        <v>21</v>
      </c>
      <c r="O123">
        <v>771.34</v>
      </c>
      <c r="P123">
        <v>423.84</v>
      </c>
      <c r="Q123" t="s">
        <v>19</v>
      </c>
      <c r="R123" t="s">
        <v>33</v>
      </c>
    </row>
    <row r="124" spans="1:18" x14ac:dyDescent="0.2">
      <c r="A124">
        <v>2026</v>
      </c>
      <c r="B124" t="s">
        <v>29</v>
      </c>
      <c r="C124">
        <v>3.42</v>
      </c>
      <c r="D124">
        <v>3.42</v>
      </c>
      <c r="E124">
        <v>4.1900000000000004</v>
      </c>
      <c r="F124">
        <v>1.89</v>
      </c>
      <c r="G124">
        <v>82.43</v>
      </c>
      <c r="H124" t="s">
        <v>30</v>
      </c>
      <c r="I124">
        <v>3</v>
      </c>
      <c r="J124">
        <v>5.17</v>
      </c>
      <c r="K124">
        <v>11</v>
      </c>
      <c r="L124">
        <v>4.6100000000000003</v>
      </c>
      <c r="M124" t="s">
        <v>52</v>
      </c>
      <c r="N124" t="s">
        <v>27</v>
      </c>
      <c r="O124">
        <v>2815.35</v>
      </c>
      <c r="P124">
        <v>414.93</v>
      </c>
      <c r="Q124" t="s">
        <v>22</v>
      </c>
      <c r="R124" t="s">
        <v>43</v>
      </c>
    </row>
    <row r="125" spans="1:18" x14ac:dyDescent="0.2">
      <c r="A125">
        <v>2026</v>
      </c>
      <c r="B125" t="s">
        <v>34</v>
      </c>
      <c r="C125">
        <v>11.47</v>
      </c>
      <c r="D125">
        <v>3.43</v>
      </c>
      <c r="E125">
        <v>17.78</v>
      </c>
      <c r="F125">
        <v>0.9</v>
      </c>
      <c r="G125">
        <v>96.88</v>
      </c>
      <c r="H125" t="s">
        <v>39</v>
      </c>
      <c r="I125">
        <v>4.59</v>
      </c>
      <c r="J125">
        <v>7.56</v>
      </c>
      <c r="K125">
        <v>6</v>
      </c>
      <c r="L125">
        <v>18.649999999999999</v>
      </c>
      <c r="M125" t="s">
        <v>20</v>
      </c>
      <c r="N125" t="s">
        <v>32</v>
      </c>
      <c r="O125">
        <v>711.34</v>
      </c>
      <c r="P125">
        <v>412.53</v>
      </c>
      <c r="Q125" t="s">
        <v>19</v>
      </c>
      <c r="R125" t="s">
        <v>48</v>
      </c>
    </row>
    <row r="126" spans="1:18" x14ac:dyDescent="0.2">
      <c r="A126">
        <v>2026</v>
      </c>
      <c r="B126" t="s">
        <v>38</v>
      </c>
      <c r="C126">
        <v>3.91</v>
      </c>
      <c r="D126">
        <v>3.44</v>
      </c>
      <c r="E126">
        <v>1.76</v>
      </c>
      <c r="F126">
        <v>1.4</v>
      </c>
      <c r="G126">
        <v>88.36</v>
      </c>
      <c r="H126" t="s">
        <v>39</v>
      </c>
      <c r="I126">
        <v>4.45</v>
      </c>
      <c r="J126">
        <v>10.63</v>
      </c>
      <c r="K126">
        <v>2</v>
      </c>
      <c r="L126">
        <v>2.81</v>
      </c>
      <c r="M126" t="s">
        <v>31</v>
      </c>
      <c r="N126" t="s">
        <v>32</v>
      </c>
      <c r="O126">
        <v>1869.13</v>
      </c>
      <c r="P126">
        <v>390.31</v>
      </c>
      <c r="Q126" t="s">
        <v>30</v>
      </c>
      <c r="R126" t="s">
        <v>28</v>
      </c>
    </row>
    <row r="127" spans="1:18" x14ac:dyDescent="0.2">
      <c r="A127">
        <v>2026</v>
      </c>
      <c r="B127" t="s">
        <v>42</v>
      </c>
      <c r="C127">
        <v>3.46</v>
      </c>
      <c r="D127">
        <v>3.45</v>
      </c>
      <c r="E127">
        <v>15.64</v>
      </c>
      <c r="F127">
        <v>1.39</v>
      </c>
      <c r="G127">
        <v>84.75</v>
      </c>
      <c r="H127" t="s">
        <v>30</v>
      </c>
      <c r="I127">
        <v>2.5</v>
      </c>
      <c r="J127">
        <v>1.4</v>
      </c>
      <c r="K127">
        <v>14</v>
      </c>
      <c r="L127">
        <v>15.4</v>
      </c>
      <c r="M127" t="s">
        <v>35</v>
      </c>
      <c r="N127" t="s">
        <v>36</v>
      </c>
      <c r="O127">
        <v>1000.22</v>
      </c>
      <c r="P127">
        <v>407.07</v>
      </c>
      <c r="Q127" t="s">
        <v>22</v>
      </c>
      <c r="R127" t="s">
        <v>48</v>
      </c>
    </row>
    <row r="128" spans="1:18" x14ac:dyDescent="0.2">
      <c r="A128">
        <v>2026</v>
      </c>
      <c r="B128" t="s">
        <v>44</v>
      </c>
      <c r="C128">
        <v>12.19</v>
      </c>
      <c r="D128">
        <v>3.46</v>
      </c>
      <c r="E128">
        <v>5.39</v>
      </c>
      <c r="F128">
        <v>0.78</v>
      </c>
      <c r="G128">
        <v>90.24</v>
      </c>
      <c r="H128" t="s">
        <v>30</v>
      </c>
      <c r="I128">
        <v>2.94</v>
      </c>
      <c r="J128">
        <v>5.43</v>
      </c>
      <c r="K128">
        <v>2</v>
      </c>
      <c r="L128">
        <v>5.32</v>
      </c>
      <c r="M128" t="s">
        <v>35</v>
      </c>
      <c r="N128" t="s">
        <v>27</v>
      </c>
      <c r="O128">
        <v>1601.78</v>
      </c>
      <c r="P128">
        <v>417.63</v>
      </c>
      <c r="Q128" t="s">
        <v>19</v>
      </c>
      <c r="R128" t="s">
        <v>37</v>
      </c>
    </row>
    <row r="129" spans="1:18" x14ac:dyDescent="0.2">
      <c r="A129">
        <v>2026</v>
      </c>
      <c r="B129" t="s">
        <v>45</v>
      </c>
      <c r="C129">
        <v>3.06</v>
      </c>
      <c r="D129">
        <v>3.47</v>
      </c>
      <c r="E129">
        <v>2.72</v>
      </c>
      <c r="F129">
        <v>1.68</v>
      </c>
      <c r="G129">
        <v>89.25</v>
      </c>
      <c r="H129" t="s">
        <v>39</v>
      </c>
      <c r="I129">
        <v>5.38</v>
      </c>
      <c r="J129">
        <v>4.0999999999999996</v>
      </c>
      <c r="K129">
        <v>1</v>
      </c>
      <c r="L129">
        <v>3.32</v>
      </c>
      <c r="M129" t="s">
        <v>40</v>
      </c>
      <c r="N129" t="s">
        <v>27</v>
      </c>
      <c r="O129">
        <v>229.96</v>
      </c>
      <c r="P129">
        <v>396.79</v>
      </c>
      <c r="Q129" t="s">
        <v>22</v>
      </c>
      <c r="R129" t="s">
        <v>23</v>
      </c>
    </row>
    <row r="130" spans="1:18" x14ac:dyDescent="0.2">
      <c r="A130">
        <v>2026</v>
      </c>
      <c r="B130" t="s">
        <v>46</v>
      </c>
      <c r="C130">
        <v>16.04</v>
      </c>
      <c r="D130">
        <v>3.48</v>
      </c>
      <c r="E130">
        <v>7.15</v>
      </c>
      <c r="F130">
        <v>2.2599999999999998</v>
      </c>
      <c r="G130">
        <v>60.9</v>
      </c>
      <c r="H130" t="s">
        <v>19</v>
      </c>
      <c r="I130">
        <v>4.2300000000000004</v>
      </c>
      <c r="J130">
        <v>-2.72</v>
      </c>
      <c r="K130">
        <v>8</v>
      </c>
      <c r="L130">
        <v>7.54</v>
      </c>
      <c r="M130" t="s">
        <v>35</v>
      </c>
      <c r="N130" t="s">
        <v>32</v>
      </c>
      <c r="O130">
        <v>2487.29</v>
      </c>
      <c r="P130">
        <v>399.77</v>
      </c>
      <c r="Q130" t="s">
        <v>39</v>
      </c>
      <c r="R130" t="s">
        <v>48</v>
      </c>
    </row>
    <row r="131" spans="1:18" x14ac:dyDescent="0.2">
      <c r="A131">
        <v>2026</v>
      </c>
      <c r="B131" t="s">
        <v>47</v>
      </c>
      <c r="C131">
        <v>3.77</v>
      </c>
      <c r="D131">
        <v>3.49</v>
      </c>
      <c r="E131">
        <v>16.309999999999999</v>
      </c>
      <c r="F131">
        <v>0.15</v>
      </c>
      <c r="G131">
        <v>84.24</v>
      </c>
      <c r="H131" t="s">
        <v>25</v>
      </c>
      <c r="I131">
        <v>4.09</v>
      </c>
      <c r="J131">
        <v>0.77</v>
      </c>
      <c r="K131">
        <v>6</v>
      </c>
      <c r="L131">
        <v>16.84</v>
      </c>
      <c r="M131" t="s">
        <v>26</v>
      </c>
      <c r="N131" t="s">
        <v>27</v>
      </c>
      <c r="O131">
        <v>2154.2800000000002</v>
      </c>
      <c r="P131">
        <v>424.63</v>
      </c>
      <c r="Q131" t="s">
        <v>22</v>
      </c>
      <c r="R131" t="s">
        <v>28</v>
      </c>
    </row>
    <row r="132" spans="1:18" x14ac:dyDescent="0.2">
      <c r="A132">
        <v>2026</v>
      </c>
      <c r="B132" t="s">
        <v>49</v>
      </c>
      <c r="C132">
        <v>13.5</v>
      </c>
      <c r="D132">
        <v>3.5</v>
      </c>
      <c r="E132">
        <v>2.74</v>
      </c>
      <c r="F132">
        <v>2.0699999999999998</v>
      </c>
      <c r="G132">
        <v>75.959999999999994</v>
      </c>
      <c r="H132" t="s">
        <v>30</v>
      </c>
      <c r="I132">
        <v>2.93</v>
      </c>
      <c r="J132">
        <v>10.43</v>
      </c>
      <c r="K132">
        <v>6</v>
      </c>
      <c r="L132">
        <v>1.54</v>
      </c>
      <c r="M132" t="s">
        <v>26</v>
      </c>
      <c r="N132" t="s">
        <v>21</v>
      </c>
      <c r="O132">
        <v>1195.43</v>
      </c>
      <c r="P132">
        <v>399.77</v>
      </c>
      <c r="Q132" t="s">
        <v>25</v>
      </c>
      <c r="R132" t="s">
        <v>43</v>
      </c>
    </row>
    <row r="133" spans="1:18" x14ac:dyDescent="0.2">
      <c r="A133">
        <v>2026</v>
      </c>
      <c r="B133" t="s">
        <v>50</v>
      </c>
      <c r="C133">
        <v>6.59</v>
      </c>
      <c r="D133">
        <v>3.51</v>
      </c>
      <c r="E133">
        <v>14.99</v>
      </c>
      <c r="F133">
        <v>1.56</v>
      </c>
      <c r="G133">
        <v>90.2</v>
      </c>
      <c r="H133" t="s">
        <v>39</v>
      </c>
      <c r="I133">
        <v>2.37</v>
      </c>
      <c r="J133">
        <v>8.86</v>
      </c>
      <c r="K133">
        <v>15</v>
      </c>
      <c r="L133">
        <v>15.25</v>
      </c>
      <c r="M133" t="s">
        <v>26</v>
      </c>
      <c r="N133" t="s">
        <v>41</v>
      </c>
      <c r="O133">
        <v>2098.2800000000002</v>
      </c>
      <c r="P133">
        <v>404.15</v>
      </c>
      <c r="Q133" t="s">
        <v>25</v>
      </c>
      <c r="R133" t="s">
        <v>23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D30D4-E870-4F70-A40F-1C0B49C5A0AC}">
  <dimension ref="A1:AA190"/>
  <sheetViews>
    <sheetView tabSelected="1" topLeftCell="A67" zoomScale="59" workbookViewId="0">
      <selection activeCell="A3" sqref="A3:AA190"/>
    </sheetView>
  </sheetViews>
  <sheetFormatPr defaultRowHeight="15" x14ac:dyDescent="0.2"/>
  <cols>
    <col min="2" max="2" width="21.38671875" customWidth="1"/>
    <col min="21" max="21" width="80.17578125" customWidth="1"/>
    <col min="26" max="26" width="6.72265625" customWidth="1"/>
    <col min="27" max="27" width="4.70703125" customWidth="1"/>
  </cols>
  <sheetData>
    <row r="1" spans="1:27" x14ac:dyDescent="0.2">
      <c r="A1" s="11"/>
      <c r="B1" s="11"/>
      <c r="C1" s="9" t="s">
        <v>66</v>
      </c>
      <c r="D1" s="10"/>
      <c r="E1" s="10"/>
      <c r="F1" s="10"/>
      <c r="G1" s="10"/>
      <c r="H1" s="10"/>
      <c r="I1" s="10"/>
      <c r="J1" s="10"/>
      <c r="K1" s="10"/>
      <c r="L1" s="10"/>
      <c r="M1" s="10"/>
      <c r="N1" s="10"/>
      <c r="O1" s="10"/>
      <c r="P1" s="10"/>
      <c r="Q1" s="10"/>
      <c r="R1" s="10"/>
      <c r="S1" s="10"/>
      <c r="T1" s="10"/>
      <c r="U1" s="10"/>
      <c r="V1" s="11"/>
      <c r="W1" s="11"/>
      <c r="X1" s="11"/>
      <c r="Y1" s="11"/>
      <c r="Z1" s="11"/>
      <c r="AA1" s="2"/>
    </row>
    <row r="2" spans="1:27" ht="32.25" customHeight="1" x14ac:dyDescent="0.2">
      <c r="A2" s="11"/>
      <c r="B2" s="11"/>
      <c r="C2" s="10"/>
      <c r="D2" s="10"/>
      <c r="E2" s="10"/>
      <c r="F2" s="10"/>
      <c r="G2" s="10"/>
      <c r="H2" s="10"/>
      <c r="I2" s="10"/>
      <c r="J2" s="10"/>
      <c r="K2" s="10"/>
      <c r="L2" s="10"/>
      <c r="M2" s="10"/>
      <c r="N2" s="10"/>
      <c r="O2" s="10"/>
      <c r="P2" s="10"/>
      <c r="Q2" s="10"/>
      <c r="R2" s="10"/>
      <c r="S2" s="10"/>
      <c r="T2" s="10"/>
      <c r="U2" s="10"/>
      <c r="V2" s="11"/>
      <c r="W2" s="11"/>
      <c r="X2" s="11"/>
      <c r="Y2" s="11"/>
      <c r="Z2" s="11"/>
      <c r="AA2" s="2"/>
    </row>
    <row r="3" spans="1:27" x14ac:dyDescent="0.2">
      <c r="A3" s="8"/>
      <c r="B3" s="8"/>
      <c r="C3" s="8"/>
      <c r="D3" s="8"/>
      <c r="E3" s="8"/>
      <c r="F3" s="8"/>
      <c r="G3" s="8"/>
      <c r="H3" s="8"/>
      <c r="I3" s="8"/>
      <c r="J3" s="8"/>
      <c r="K3" s="8"/>
      <c r="L3" s="8"/>
      <c r="M3" s="8"/>
      <c r="N3" s="8"/>
      <c r="O3" s="8"/>
      <c r="P3" s="8"/>
      <c r="Q3" s="8"/>
      <c r="R3" s="8"/>
      <c r="S3" s="8"/>
      <c r="T3" s="8"/>
      <c r="U3" s="8"/>
      <c r="V3" s="8"/>
      <c r="W3" s="8"/>
      <c r="X3" s="8"/>
      <c r="Y3" s="8"/>
      <c r="Z3" s="8"/>
      <c r="AA3" s="8"/>
    </row>
    <row r="4" spans="1:27" x14ac:dyDescent="0.2">
      <c r="A4" s="8"/>
      <c r="B4" s="8"/>
      <c r="C4" s="8"/>
      <c r="D4" s="8"/>
      <c r="E4" s="8"/>
      <c r="F4" s="8"/>
      <c r="G4" s="8"/>
      <c r="H4" s="8"/>
      <c r="I4" s="8"/>
      <c r="J4" s="8"/>
      <c r="K4" s="8"/>
      <c r="L4" s="8"/>
      <c r="M4" s="8"/>
      <c r="N4" s="8"/>
      <c r="O4" s="8"/>
      <c r="P4" s="8"/>
      <c r="Q4" s="8"/>
      <c r="R4" s="8"/>
      <c r="S4" s="8"/>
      <c r="T4" s="8"/>
      <c r="U4" s="8"/>
      <c r="V4" s="8"/>
      <c r="W4" s="8"/>
      <c r="X4" s="8"/>
      <c r="Y4" s="8"/>
      <c r="Z4" s="8"/>
      <c r="AA4" s="8"/>
    </row>
    <row r="5" spans="1:27" x14ac:dyDescent="0.2">
      <c r="A5" s="8"/>
      <c r="B5" s="8"/>
      <c r="C5" s="8"/>
      <c r="D5" s="8"/>
      <c r="E5" s="8"/>
      <c r="F5" s="8"/>
      <c r="G5" s="8"/>
      <c r="H5" s="8"/>
      <c r="I5" s="8"/>
      <c r="J5" s="8"/>
      <c r="K5" s="8"/>
      <c r="L5" s="8"/>
      <c r="M5" s="8"/>
      <c r="N5" s="8"/>
      <c r="O5" s="8"/>
      <c r="P5" s="8"/>
      <c r="Q5" s="8"/>
      <c r="R5" s="8"/>
      <c r="S5" s="8"/>
      <c r="T5" s="8"/>
      <c r="U5" s="8"/>
      <c r="V5" s="8"/>
      <c r="W5" s="8"/>
      <c r="X5" s="8"/>
      <c r="Y5" s="8"/>
      <c r="Z5" s="8"/>
      <c r="AA5" s="8"/>
    </row>
    <row r="6" spans="1:27" x14ac:dyDescent="0.2">
      <c r="A6" s="8"/>
      <c r="B6" s="8"/>
      <c r="C6" s="8"/>
      <c r="D6" s="8"/>
      <c r="E6" s="8"/>
      <c r="F6" s="8"/>
      <c r="G6" s="8"/>
      <c r="H6" s="8"/>
      <c r="I6" s="8"/>
      <c r="J6" s="8"/>
      <c r="K6" s="8"/>
      <c r="L6" s="8"/>
      <c r="M6" s="8"/>
      <c r="N6" s="8"/>
      <c r="O6" s="8"/>
      <c r="P6" s="8"/>
      <c r="Q6" s="8"/>
      <c r="R6" s="8"/>
      <c r="S6" s="8"/>
      <c r="T6" s="8"/>
      <c r="U6" s="8"/>
      <c r="V6" s="8"/>
      <c r="W6" s="8"/>
      <c r="X6" s="8"/>
      <c r="Y6" s="8"/>
      <c r="Z6" s="8"/>
      <c r="AA6" s="8"/>
    </row>
    <row r="7" spans="1:27" x14ac:dyDescent="0.2">
      <c r="A7" s="8"/>
      <c r="B7" s="8"/>
      <c r="C7" s="8"/>
      <c r="D7" s="8"/>
      <c r="E7" s="8"/>
      <c r="F7" s="8"/>
      <c r="G7" s="8"/>
      <c r="H7" s="8"/>
      <c r="I7" s="8"/>
      <c r="J7" s="8"/>
      <c r="K7" s="8"/>
      <c r="L7" s="8"/>
      <c r="M7" s="8"/>
      <c r="N7" s="8"/>
      <c r="O7" s="8"/>
      <c r="P7" s="8"/>
      <c r="Q7" s="8"/>
      <c r="R7" s="8"/>
      <c r="S7" s="8"/>
      <c r="T7" s="8"/>
      <c r="U7" s="8"/>
      <c r="V7" s="8"/>
      <c r="W7" s="8"/>
      <c r="X7" s="8"/>
      <c r="Y7" s="8"/>
      <c r="Z7" s="8"/>
      <c r="AA7" s="8"/>
    </row>
    <row r="8" spans="1:27" x14ac:dyDescent="0.2">
      <c r="A8" s="8"/>
      <c r="B8" s="8"/>
      <c r="C8" s="8"/>
      <c r="D8" s="8"/>
      <c r="E8" s="8"/>
      <c r="F8" s="8"/>
      <c r="G8" s="8"/>
      <c r="H8" s="8"/>
      <c r="I8" s="8"/>
      <c r="J8" s="8"/>
      <c r="K8" s="8"/>
      <c r="L8" s="8"/>
      <c r="M8" s="8"/>
      <c r="N8" s="8"/>
      <c r="O8" s="8"/>
      <c r="P8" s="8"/>
      <c r="Q8" s="8"/>
      <c r="R8" s="8"/>
      <c r="S8" s="8"/>
      <c r="T8" s="8"/>
      <c r="U8" s="8"/>
      <c r="V8" s="8"/>
      <c r="W8" s="8"/>
      <c r="X8" s="8"/>
      <c r="Y8" s="8"/>
      <c r="Z8" s="8"/>
      <c r="AA8" s="8"/>
    </row>
    <row r="9" spans="1:27" x14ac:dyDescent="0.2">
      <c r="A9" s="8"/>
      <c r="B9" s="8"/>
      <c r="C9" s="8"/>
      <c r="D9" s="8"/>
      <c r="E9" s="8"/>
      <c r="F9" s="8"/>
      <c r="G9" s="8"/>
      <c r="H9" s="8"/>
      <c r="I9" s="8"/>
      <c r="J9" s="8"/>
      <c r="K9" s="8"/>
      <c r="L9" s="8"/>
      <c r="M9" s="8"/>
      <c r="N9" s="8"/>
      <c r="O9" s="8"/>
      <c r="P9" s="8"/>
      <c r="Q9" s="8"/>
      <c r="R9" s="8"/>
      <c r="S9" s="8"/>
      <c r="T9" s="8"/>
      <c r="U9" s="8"/>
      <c r="V9" s="8"/>
      <c r="W9" s="8"/>
      <c r="X9" s="8"/>
      <c r="Y9" s="8"/>
      <c r="Z9" s="8"/>
      <c r="AA9" s="8"/>
    </row>
    <row r="10" spans="1:27" x14ac:dyDescent="0.2">
      <c r="A10" s="8"/>
      <c r="B10" s="8"/>
      <c r="C10" s="8"/>
      <c r="D10" s="8"/>
      <c r="E10" s="8"/>
      <c r="F10" s="8"/>
      <c r="G10" s="8"/>
      <c r="H10" s="8"/>
      <c r="I10" s="8"/>
      <c r="J10" s="8"/>
      <c r="K10" s="8"/>
      <c r="L10" s="8"/>
      <c r="M10" s="8"/>
      <c r="N10" s="8"/>
      <c r="O10" s="8"/>
      <c r="P10" s="8"/>
      <c r="Q10" s="8"/>
      <c r="R10" s="8"/>
      <c r="S10" s="8"/>
      <c r="T10" s="8"/>
      <c r="U10" s="8"/>
      <c r="V10" s="8"/>
      <c r="W10" s="8"/>
      <c r="X10" s="8"/>
      <c r="Y10" s="8"/>
      <c r="Z10" s="8"/>
      <c r="AA10" s="8"/>
    </row>
    <row r="11" spans="1:27" x14ac:dyDescent="0.2">
      <c r="A11" s="8"/>
      <c r="B11" s="8"/>
      <c r="C11" s="8"/>
      <c r="D11" s="8"/>
      <c r="E11" s="8"/>
      <c r="F11" s="8"/>
      <c r="G11" s="8"/>
      <c r="H11" s="8"/>
      <c r="I11" s="8"/>
      <c r="J11" s="8"/>
      <c r="K11" s="8"/>
      <c r="L11" s="8"/>
      <c r="M11" s="8"/>
      <c r="N11" s="8"/>
      <c r="O11" s="8"/>
      <c r="P11" s="8"/>
      <c r="Q11" s="8"/>
      <c r="R11" s="8"/>
      <c r="S11" s="8"/>
      <c r="T11" s="8"/>
      <c r="U11" s="8"/>
      <c r="V11" s="8"/>
      <c r="W11" s="8"/>
      <c r="X11" s="8"/>
      <c r="Y11" s="8"/>
      <c r="Z11" s="8"/>
      <c r="AA11" s="8"/>
    </row>
    <row r="12" spans="1:27" ht="63" customHeight="1" x14ac:dyDescent="0.2">
      <c r="A12" s="8"/>
      <c r="B12" s="8"/>
      <c r="C12" s="8"/>
      <c r="D12" s="8"/>
      <c r="E12" s="8"/>
      <c r="F12" s="8"/>
      <c r="G12" s="8"/>
      <c r="H12" s="8"/>
      <c r="I12" s="8"/>
      <c r="J12" s="8"/>
      <c r="K12" s="8"/>
      <c r="L12" s="8"/>
      <c r="M12" s="8"/>
      <c r="N12" s="8"/>
      <c r="O12" s="8"/>
      <c r="P12" s="8"/>
      <c r="Q12" s="8"/>
      <c r="R12" s="8"/>
      <c r="S12" s="8"/>
      <c r="T12" s="8"/>
      <c r="U12" s="8"/>
      <c r="V12" s="8"/>
      <c r="W12" s="8"/>
      <c r="X12" s="8"/>
      <c r="Y12" s="8"/>
      <c r="Z12" s="8"/>
      <c r="AA12" s="8"/>
    </row>
    <row r="13" spans="1:27" x14ac:dyDescent="0.2">
      <c r="A13" s="8"/>
      <c r="B13" s="8"/>
      <c r="C13" s="8"/>
      <c r="D13" s="8"/>
      <c r="E13" s="8"/>
      <c r="F13" s="8"/>
      <c r="G13" s="8"/>
      <c r="H13" s="8"/>
      <c r="I13" s="8"/>
      <c r="J13" s="8"/>
      <c r="K13" s="8"/>
      <c r="L13" s="8"/>
      <c r="M13" s="8"/>
      <c r="N13" s="8"/>
      <c r="O13" s="8"/>
      <c r="P13" s="8"/>
      <c r="Q13" s="8"/>
      <c r="R13" s="8"/>
      <c r="S13" s="8"/>
      <c r="T13" s="8"/>
      <c r="U13" s="8"/>
      <c r="V13" s="8"/>
      <c r="W13" s="8"/>
      <c r="X13" s="8"/>
      <c r="Y13" s="8"/>
      <c r="Z13" s="8"/>
      <c r="AA13" s="8"/>
    </row>
    <row r="14" spans="1:27" x14ac:dyDescent="0.2">
      <c r="A14" s="8"/>
      <c r="B14" s="8"/>
      <c r="C14" s="8"/>
      <c r="D14" s="8"/>
      <c r="E14" s="8"/>
      <c r="F14" s="8"/>
      <c r="G14" s="8"/>
      <c r="H14" s="8"/>
      <c r="I14" s="8"/>
      <c r="J14" s="8"/>
      <c r="K14" s="8"/>
      <c r="L14" s="8"/>
      <c r="M14" s="8"/>
      <c r="N14" s="8"/>
      <c r="O14" s="8"/>
      <c r="P14" s="8"/>
      <c r="Q14" s="8"/>
      <c r="R14" s="8"/>
      <c r="S14" s="8"/>
      <c r="T14" s="8"/>
      <c r="U14" s="8"/>
      <c r="V14" s="8"/>
      <c r="W14" s="8"/>
      <c r="X14" s="8"/>
      <c r="Y14" s="8"/>
      <c r="Z14" s="8"/>
      <c r="AA14" s="8"/>
    </row>
    <row r="15" spans="1:27" x14ac:dyDescent="0.2">
      <c r="A15" s="8"/>
      <c r="B15" s="8"/>
      <c r="C15" s="8"/>
      <c r="D15" s="8"/>
      <c r="E15" s="8"/>
      <c r="F15" s="8"/>
      <c r="G15" s="8"/>
      <c r="H15" s="8"/>
      <c r="I15" s="8"/>
      <c r="J15" s="8"/>
      <c r="K15" s="8"/>
      <c r="L15" s="8"/>
      <c r="M15" s="8"/>
      <c r="N15" s="8"/>
      <c r="O15" s="8"/>
      <c r="P15" s="8"/>
      <c r="Q15" s="8"/>
      <c r="R15" s="8"/>
      <c r="S15" s="8"/>
      <c r="T15" s="8"/>
      <c r="U15" s="8"/>
      <c r="V15" s="8"/>
      <c r="W15" s="8"/>
      <c r="X15" s="8"/>
      <c r="Y15" s="8"/>
      <c r="Z15" s="8"/>
      <c r="AA15" s="8"/>
    </row>
    <row r="16" spans="1:27" x14ac:dyDescent="0.2">
      <c r="A16" s="8"/>
      <c r="B16" s="8"/>
      <c r="C16" s="8"/>
      <c r="D16" s="8"/>
      <c r="E16" s="8"/>
      <c r="F16" s="8"/>
      <c r="G16" s="8"/>
      <c r="H16" s="8"/>
      <c r="I16" s="8"/>
      <c r="J16" s="8"/>
      <c r="K16" s="8"/>
      <c r="L16" s="8"/>
      <c r="M16" s="8"/>
      <c r="N16" s="8"/>
      <c r="O16" s="8"/>
      <c r="P16" s="8"/>
      <c r="Q16" s="8"/>
      <c r="R16" s="8"/>
      <c r="S16" s="8"/>
      <c r="T16" s="8"/>
      <c r="U16" s="8"/>
      <c r="V16" s="8"/>
      <c r="W16" s="8"/>
      <c r="X16" s="8"/>
      <c r="Y16" s="8"/>
      <c r="Z16" s="8"/>
      <c r="AA16" s="8"/>
    </row>
    <row r="17" spans="1:27" x14ac:dyDescent="0.2">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spans="1:27" x14ac:dyDescent="0.2">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spans="1:27" x14ac:dyDescent="0.2">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spans="1:27" x14ac:dyDescent="0.2">
      <c r="A20" s="8"/>
      <c r="B20" s="8"/>
      <c r="C20" s="8"/>
      <c r="D20" s="8"/>
      <c r="E20" s="8"/>
      <c r="F20" s="8"/>
      <c r="G20" s="8"/>
      <c r="H20" s="8"/>
      <c r="I20" s="8"/>
      <c r="J20" s="8"/>
      <c r="K20" s="8"/>
      <c r="L20" s="8"/>
      <c r="M20" s="8"/>
      <c r="N20" s="8"/>
      <c r="O20" s="8"/>
      <c r="P20" s="8"/>
      <c r="Q20" s="8"/>
      <c r="R20" s="8"/>
      <c r="S20" s="8"/>
      <c r="T20" s="8"/>
      <c r="U20" s="8"/>
      <c r="V20" s="8"/>
      <c r="W20" s="8"/>
      <c r="X20" s="8"/>
      <c r="Y20" s="8"/>
      <c r="Z20" s="8"/>
      <c r="AA20" s="8"/>
    </row>
    <row r="21" spans="1:27" x14ac:dyDescent="0.2">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spans="1:27" x14ac:dyDescent="0.2">
      <c r="A22" s="8"/>
      <c r="B22" s="8"/>
      <c r="C22" s="8"/>
      <c r="D22" s="8"/>
      <c r="E22" s="8"/>
      <c r="F22" s="8"/>
      <c r="G22" s="8"/>
      <c r="H22" s="8"/>
      <c r="I22" s="8"/>
      <c r="J22" s="8"/>
      <c r="K22" s="8"/>
      <c r="L22" s="8"/>
      <c r="M22" s="8"/>
      <c r="N22" s="8"/>
      <c r="O22" s="8"/>
      <c r="P22" s="8"/>
      <c r="Q22" s="8"/>
      <c r="R22" s="8"/>
      <c r="S22" s="8"/>
      <c r="T22" s="8"/>
      <c r="U22" s="8"/>
      <c r="V22" s="8"/>
      <c r="W22" s="8"/>
      <c r="X22" s="8"/>
      <c r="Y22" s="8"/>
      <c r="Z22" s="8"/>
      <c r="AA22" s="8"/>
    </row>
    <row r="23" spans="1:27" x14ac:dyDescent="0.2">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spans="1:27" x14ac:dyDescent="0.2">
      <c r="A24" s="8"/>
      <c r="B24" s="8"/>
      <c r="C24" s="8"/>
      <c r="D24" s="8"/>
      <c r="E24" s="8"/>
      <c r="F24" s="8"/>
      <c r="G24" s="8"/>
      <c r="H24" s="8"/>
      <c r="I24" s="8"/>
      <c r="J24" s="8"/>
      <c r="K24" s="8"/>
      <c r="L24" s="8"/>
      <c r="M24" s="8"/>
      <c r="N24" s="8"/>
      <c r="O24" s="8"/>
      <c r="P24" s="8"/>
      <c r="Q24" s="8"/>
      <c r="R24" s="8"/>
      <c r="S24" s="8"/>
      <c r="T24" s="8"/>
      <c r="U24" s="8"/>
      <c r="V24" s="8"/>
      <c r="W24" s="8"/>
      <c r="X24" s="8"/>
      <c r="Y24" s="8"/>
      <c r="Z24" s="8"/>
      <c r="AA24" s="8"/>
    </row>
    <row r="25" spans="1:27" x14ac:dyDescent="0.2">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spans="1:27" x14ac:dyDescent="0.2">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spans="1:27" x14ac:dyDescent="0.2">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spans="1:27" x14ac:dyDescent="0.2">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spans="1:27" x14ac:dyDescent="0.2">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spans="1:27" x14ac:dyDescent="0.2">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spans="1:27" x14ac:dyDescent="0.2">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spans="1:27" x14ac:dyDescent="0.2">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spans="1:27" x14ac:dyDescent="0.2">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spans="1:27" x14ac:dyDescent="0.2">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spans="1:27" x14ac:dyDescent="0.2">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spans="1:27" x14ac:dyDescent="0.2">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spans="1:27" x14ac:dyDescent="0.2">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spans="1:27" x14ac:dyDescent="0.2">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spans="1:27" x14ac:dyDescent="0.2">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spans="1:27" x14ac:dyDescent="0.2">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spans="1:27" x14ac:dyDescent="0.2">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spans="1:27" x14ac:dyDescent="0.2">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spans="1:27" x14ac:dyDescent="0.2">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spans="1:27" x14ac:dyDescent="0.2">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spans="1:27" x14ac:dyDescent="0.2">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spans="1:27" x14ac:dyDescent="0.2">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spans="1:27" x14ac:dyDescent="0.2">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spans="1:27" x14ac:dyDescent="0.2">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spans="1:27" x14ac:dyDescent="0.2">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spans="1:27" x14ac:dyDescent="0.2">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spans="1:27" x14ac:dyDescent="0.2">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spans="1:27" x14ac:dyDescent="0.2">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spans="1:27" x14ac:dyDescent="0.2">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spans="1:27" x14ac:dyDescent="0.2">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spans="1:27" x14ac:dyDescent="0.2">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spans="1:27" x14ac:dyDescent="0.2">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spans="1:27" x14ac:dyDescent="0.2">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spans="1:27" x14ac:dyDescent="0.2">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spans="1:27" x14ac:dyDescent="0.2">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spans="1:27" x14ac:dyDescent="0.2">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spans="1:27" x14ac:dyDescent="0.2">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spans="1:27" x14ac:dyDescent="0.2">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spans="1:27" x14ac:dyDescent="0.2">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spans="1:27" x14ac:dyDescent="0.2">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spans="1:27" x14ac:dyDescent="0.2">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spans="1:27" x14ac:dyDescent="0.2">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spans="1:27" x14ac:dyDescent="0.2">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spans="1:27" x14ac:dyDescent="0.2">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spans="1:27" x14ac:dyDescent="0.2">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spans="1:27" x14ac:dyDescent="0.2">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spans="1:27" x14ac:dyDescent="0.2">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spans="1:27" x14ac:dyDescent="0.2">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spans="1:27" x14ac:dyDescent="0.2">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spans="1:27" x14ac:dyDescent="0.2">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spans="1:27" x14ac:dyDescent="0.2">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spans="1:27" x14ac:dyDescent="0.2">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spans="1:27" x14ac:dyDescent="0.2">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spans="1:27" x14ac:dyDescent="0.2">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spans="1:27" x14ac:dyDescent="0.2">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spans="1:27" x14ac:dyDescent="0.2">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spans="1:27" x14ac:dyDescent="0.2">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spans="1:27" x14ac:dyDescent="0.2">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spans="1:27" x14ac:dyDescent="0.2">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spans="1:27" x14ac:dyDescent="0.2">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spans="1:27" x14ac:dyDescent="0.2">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spans="1:27" x14ac:dyDescent="0.2">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spans="1:27" x14ac:dyDescent="0.2">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spans="1:27" x14ac:dyDescent="0.2">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spans="1:27" x14ac:dyDescent="0.2">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spans="1:27" x14ac:dyDescent="0.2">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spans="1:27" x14ac:dyDescent="0.2">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spans="1:27" x14ac:dyDescent="0.2">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spans="1:27" x14ac:dyDescent="0.2">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spans="1:27" x14ac:dyDescent="0.2">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spans="1:27" x14ac:dyDescent="0.2">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spans="1:27" x14ac:dyDescent="0.2">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spans="1:27" x14ac:dyDescent="0.2">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spans="1:27" x14ac:dyDescent="0.2">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spans="1:27" x14ac:dyDescent="0.2">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spans="1:27"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spans="1:27"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spans="1:27"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spans="1:27"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spans="1:27"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spans="1:27"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spans="1:27"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spans="1:27"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spans="1:27"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spans="1:27"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spans="1:27"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spans="1:27"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spans="1:27"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spans="1:27"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spans="1:27"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spans="1:27"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spans="1:27"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spans="1:27"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spans="1:27"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spans="1:27"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spans="1:27"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spans="1:27"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spans="1:27"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spans="1:27"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spans="1:27"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spans="1:27"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spans="1:27"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spans="1:27"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spans="1:27"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spans="1:27"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spans="1:27"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spans="1:27"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spans="1:27"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spans="1:27"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spans="1:27"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spans="1:27"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spans="1:27"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spans="1:27"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spans="1:27"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spans="1:27"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spans="1:27"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spans="1:27"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spans="1:27"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spans="1:27"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spans="1:27"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spans="1:27"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spans="1:27"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spans="1:27"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spans="1:27"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spans="1:27"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spans="1:27"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spans="1:27"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spans="1:27"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spans="1:27"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spans="1:27"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spans="1:27"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spans="1:27"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spans="1:27"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spans="1:27"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spans="1:27"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spans="1:27"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spans="1:27"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spans="1:27"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spans="1:27"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spans="1:27"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spans="1:27"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spans="1:27"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spans="1:27"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spans="1:27"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spans="1:27"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spans="1:27"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spans="1:27"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spans="1:27"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spans="1:27"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spans="1:27"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spans="1:27"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spans="1:27"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spans="1:27"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spans="1:27"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spans="1:27"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spans="1:27"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spans="1:27"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spans="1:27"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spans="1:27"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spans="1:27"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spans="1:27"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spans="1:27"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spans="1:27"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spans="1:27"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spans="1:27"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spans="1:27"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sheetData>
  <mergeCells count="4">
    <mergeCell ref="A3:AA190"/>
    <mergeCell ref="C1:U2"/>
    <mergeCell ref="A1:B2"/>
    <mergeCell ref="V1:Z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FD785-7B05-447C-9BD6-C2DBBF22E98C}">
  <dimension ref="A1"/>
  <sheetViews>
    <sheetView workbookViewId="0"/>
  </sheetViews>
  <sheetFormatPr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14</vt:i4>
      </vt:variant>
    </vt:vector>
  </HeadingPairs>
  <TitlesOfParts>
    <vt:vector size="14" baseType="lpstr">
      <vt:lpstr>Revenue G</vt:lpstr>
      <vt:lpstr>Stock P</vt:lpstr>
      <vt:lpstr>Monthly User</vt:lpstr>
      <vt:lpstr>Profit&amp;Loss</vt:lpstr>
      <vt:lpstr>User G</vt:lpstr>
      <vt:lpstr>Monthly AU</vt:lpstr>
      <vt:lpstr>Net Income</vt:lpstr>
      <vt:lpstr>Sheet12</vt:lpstr>
      <vt:lpstr>Sheet13</vt:lpstr>
      <vt:lpstr>Sheet14</vt:lpstr>
      <vt:lpstr>Sheet15</vt:lpstr>
      <vt:lpstr>Meta_2016_2026</vt:lpstr>
      <vt:lpstr>Dashboard</vt:lpstr>
      <vt:lpstr>Sheet16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2026-06-06T18:16:23Z</dcterms:created>
  <dcterms:modified xsi:type="dcterms:W3CDTF">2026-09-11T11:18:33Z</dcterms:modified>
</cp:coreProperties>
</file>